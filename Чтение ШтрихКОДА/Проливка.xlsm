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it\StrihKOD\"/>
    </mc:Choice>
  </mc:AlternateContent>
  <xr:revisionPtr revIDLastSave="0" documentId="13_ncr:1_{3A815749-D869-433B-83F9-A361EFDB921D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Проливка" sheetId="1" r:id="rId1"/>
    <sheet name="Срок хранения" sheetId="5" state="hidden" r:id="rId2"/>
    <sheet name="1 год" sheetId="2" r:id="rId3"/>
    <sheet name="3 года" sheetId="3" r:id="rId4"/>
    <sheet name="5 лет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X3" i="1"/>
  <c r="C3" i="1" s="1"/>
  <c r="X4" i="1"/>
  <c r="C4" i="1" s="1"/>
  <c r="X5" i="1"/>
  <c r="C5" i="1" s="1"/>
  <c r="X6" i="1"/>
  <c r="C6" i="1" s="1"/>
  <c r="X7" i="1"/>
  <c r="C7" i="1" s="1"/>
  <c r="X8" i="1"/>
  <c r="C8" i="1" s="1"/>
  <c r="X9" i="1"/>
  <c r="C9" i="1" s="1"/>
  <c r="X10" i="1"/>
  <c r="C10" i="1" s="1"/>
  <c r="X11" i="1"/>
  <c r="C11" i="1" s="1"/>
  <c r="X12" i="1"/>
  <c r="C12" i="1" s="1"/>
  <c r="X13" i="1"/>
  <c r="C13" i="1" s="1"/>
  <c r="X14" i="1"/>
  <c r="C14" i="1" s="1"/>
  <c r="X15" i="1"/>
  <c r="C15" i="1" s="1"/>
  <c r="X16" i="1"/>
  <c r="C16" i="1" s="1"/>
  <c r="X17" i="1"/>
  <c r="C17" i="1" s="1"/>
  <c r="X18" i="1"/>
  <c r="C18" i="1" s="1"/>
  <c r="X19" i="1"/>
  <c r="C19" i="1" s="1"/>
  <c r="X20" i="1"/>
  <c r="C20" i="1" s="1"/>
  <c r="X21" i="1"/>
  <c r="C21" i="1" s="1"/>
  <c r="X22" i="1"/>
  <c r="C22" i="1" s="1"/>
  <c r="X23" i="1"/>
  <c r="C23" i="1" s="1"/>
  <c r="X24" i="1"/>
  <c r="C24" i="1" s="1"/>
  <c r="X25" i="1"/>
  <c r="C25" i="1" s="1"/>
  <c r="X26" i="1"/>
  <c r="C26" i="1" s="1"/>
  <c r="X27" i="1"/>
  <c r="C27" i="1" s="1"/>
  <c r="X28" i="1"/>
  <c r="C28" i="1" s="1"/>
  <c r="X29" i="1"/>
  <c r="C29" i="1" s="1"/>
  <c r="X30" i="1"/>
  <c r="C30" i="1" s="1"/>
  <c r="X31" i="1"/>
  <c r="C31" i="1" s="1"/>
  <c r="X32" i="1"/>
  <c r="C32" i="1" s="1"/>
  <c r="X33" i="1"/>
  <c r="C33" i="1" s="1"/>
  <c r="X34" i="1"/>
  <c r="C34" i="1" s="1"/>
  <c r="X35" i="1"/>
  <c r="C35" i="1" s="1"/>
  <c r="X36" i="1"/>
  <c r="C36" i="1" s="1"/>
  <c r="X37" i="1"/>
  <c r="C37" i="1" s="1"/>
  <c r="X38" i="1"/>
  <c r="C38" i="1" s="1"/>
  <c r="X39" i="1"/>
  <c r="C39" i="1" s="1"/>
  <c r="X40" i="1"/>
  <c r="C40" i="1" s="1"/>
  <c r="X41" i="1"/>
  <c r="C41" i="1" s="1"/>
  <c r="X42" i="1"/>
  <c r="C42" i="1" s="1"/>
  <c r="X43" i="1"/>
  <c r="C43" i="1" s="1"/>
  <c r="X44" i="1"/>
  <c r="C44" i="1" s="1"/>
  <c r="X45" i="1"/>
  <c r="C45" i="1" s="1"/>
  <c r="X46" i="1"/>
  <c r="C46" i="1" s="1"/>
  <c r="X47" i="1"/>
  <c r="C47" i="1" s="1"/>
  <c r="X48" i="1"/>
  <c r="C48" i="1" s="1"/>
  <c r="X49" i="1"/>
  <c r="C49" i="1" s="1"/>
  <c r="X50" i="1"/>
  <c r="C50" i="1" s="1"/>
  <c r="X51" i="1"/>
  <c r="C51" i="1" s="1"/>
  <c r="X52" i="1"/>
  <c r="C52" i="1" s="1"/>
  <c r="X53" i="1"/>
  <c r="C53" i="1" s="1"/>
  <c r="X54" i="1"/>
  <c r="C54" i="1" s="1"/>
  <c r="X55" i="1"/>
  <c r="C55" i="1" s="1"/>
  <c r="X56" i="1"/>
  <c r="C56" i="1" s="1"/>
  <c r="X57" i="1"/>
  <c r="C57" i="1" s="1"/>
  <c r="X58" i="1"/>
  <c r="C58" i="1" s="1"/>
  <c r="X59" i="1"/>
  <c r="C59" i="1" s="1"/>
  <c r="X60" i="1"/>
  <c r="C60" i="1" s="1"/>
  <c r="X61" i="1"/>
  <c r="C61" i="1" s="1"/>
  <c r="X62" i="1"/>
  <c r="C62" i="1" s="1"/>
  <c r="X63" i="1"/>
  <c r="C63" i="1" s="1"/>
  <c r="X64" i="1"/>
  <c r="C64" i="1" s="1"/>
  <c r="X65" i="1"/>
  <c r="C65" i="1" s="1"/>
  <c r="X66" i="1"/>
  <c r="C66" i="1" s="1"/>
  <c r="X67" i="1"/>
  <c r="C67" i="1" s="1"/>
  <c r="X68" i="1"/>
  <c r="C68" i="1" s="1"/>
  <c r="X69" i="1"/>
  <c r="C69" i="1" s="1"/>
  <c r="X70" i="1"/>
  <c r="C70" i="1" s="1"/>
  <c r="X71" i="1"/>
  <c r="C71" i="1" s="1"/>
  <c r="X72" i="1"/>
  <c r="C72" i="1" s="1"/>
  <c r="X73" i="1"/>
  <c r="C73" i="1" s="1"/>
  <c r="X74" i="1"/>
  <c r="C74" i="1" s="1"/>
  <c r="X75" i="1"/>
  <c r="C75" i="1" s="1"/>
  <c r="X76" i="1"/>
  <c r="C76" i="1" s="1"/>
  <c r="X77" i="1"/>
  <c r="C77" i="1" s="1"/>
  <c r="X78" i="1"/>
  <c r="C78" i="1" s="1"/>
  <c r="X79" i="1"/>
  <c r="C79" i="1" s="1"/>
  <c r="X80" i="1"/>
  <c r="C80" i="1" s="1"/>
  <c r="X81" i="1"/>
  <c r="C81" i="1" s="1"/>
  <c r="X82" i="1"/>
  <c r="C82" i="1" s="1"/>
  <c r="X83" i="1"/>
  <c r="C83" i="1" s="1"/>
  <c r="X84" i="1"/>
  <c r="C84" i="1" s="1"/>
  <c r="X85" i="1"/>
  <c r="C85" i="1" s="1"/>
  <c r="X86" i="1"/>
  <c r="C86" i="1" s="1"/>
  <c r="X87" i="1"/>
  <c r="C87" i="1" s="1"/>
  <c r="X88" i="1"/>
  <c r="C88" i="1" s="1"/>
  <c r="X89" i="1"/>
  <c r="C89" i="1" s="1"/>
  <c r="X90" i="1"/>
  <c r="C90" i="1" s="1"/>
  <c r="X91" i="1"/>
  <c r="C91" i="1" s="1"/>
  <c r="X92" i="1"/>
  <c r="C92" i="1" s="1"/>
  <c r="X93" i="1"/>
  <c r="C93" i="1" s="1"/>
  <c r="X94" i="1"/>
  <c r="C94" i="1" s="1"/>
  <c r="X95" i="1"/>
  <c r="C95" i="1" s="1"/>
  <c r="X96" i="1"/>
  <c r="C96" i="1" s="1"/>
  <c r="X97" i="1"/>
  <c r="C97" i="1" s="1"/>
  <c r="X98" i="1"/>
  <c r="C98" i="1" s="1"/>
  <c r="X99" i="1"/>
  <c r="C99" i="1" s="1"/>
  <c r="X100" i="1"/>
  <c r="C100" i="1" s="1"/>
  <c r="X101" i="1"/>
  <c r="C101" i="1" s="1"/>
  <c r="X102" i="1"/>
  <c r="C102" i="1" s="1"/>
  <c r="X103" i="1"/>
  <c r="C103" i="1" s="1"/>
  <c r="X104" i="1"/>
  <c r="C104" i="1" s="1"/>
  <c r="X105" i="1"/>
  <c r="C105" i="1" s="1"/>
  <c r="X106" i="1"/>
  <c r="C106" i="1" s="1"/>
  <c r="X107" i="1"/>
  <c r="C107" i="1" s="1"/>
  <c r="X108" i="1"/>
  <c r="C108" i="1" s="1"/>
  <c r="X109" i="1"/>
  <c r="C109" i="1" s="1"/>
  <c r="X110" i="1"/>
  <c r="C110" i="1" s="1"/>
  <c r="X111" i="1"/>
  <c r="C111" i="1" s="1"/>
  <c r="X112" i="1"/>
  <c r="C112" i="1" s="1"/>
  <c r="X113" i="1"/>
  <c r="C113" i="1" s="1"/>
  <c r="X114" i="1"/>
  <c r="C114" i="1" s="1"/>
  <c r="X115" i="1"/>
  <c r="C115" i="1" s="1"/>
  <c r="X116" i="1"/>
  <c r="C116" i="1" s="1"/>
  <c r="X117" i="1"/>
  <c r="C117" i="1" s="1"/>
  <c r="X118" i="1"/>
  <c r="C118" i="1" s="1"/>
  <c r="X119" i="1"/>
  <c r="C119" i="1" s="1"/>
  <c r="X120" i="1"/>
  <c r="C120" i="1" s="1"/>
  <c r="X121" i="1"/>
  <c r="C121" i="1" s="1"/>
  <c r="X122" i="1"/>
  <c r="C122" i="1" s="1"/>
  <c r="X123" i="1"/>
  <c r="C123" i="1" s="1"/>
  <c r="X124" i="1"/>
  <c r="C124" i="1" s="1"/>
  <c r="X125" i="1"/>
  <c r="C125" i="1" s="1"/>
  <c r="X126" i="1"/>
  <c r="C126" i="1" s="1"/>
  <c r="X127" i="1"/>
  <c r="C127" i="1" s="1"/>
  <c r="X128" i="1"/>
  <c r="C128" i="1" s="1"/>
  <c r="X129" i="1"/>
  <c r="C129" i="1" s="1"/>
  <c r="X130" i="1"/>
  <c r="C130" i="1" s="1"/>
  <c r="X131" i="1"/>
  <c r="C131" i="1" s="1"/>
  <c r="X132" i="1"/>
  <c r="C132" i="1" s="1"/>
  <c r="X133" i="1"/>
  <c r="C133" i="1" s="1"/>
  <c r="X134" i="1"/>
  <c r="C134" i="1" s="1"/>
  <c r="X135" i="1"/>
  <c r="C135" i="1" s="1"/>
  <c r="X136" i="1"/>
  <c r="C136" i="1" s="1"/>
  <c r="X137" i="1"/>
  <c r="C137" i="1" s="1"/>
  <c r="X138" i="1"/>
  <c r="C138" i="1" s="1"/>
  <c r="X139" i="1"/>
  <c r="C139" i="1" s="1"/>
  <c r="X140" i="1"/>
  <c r="C140" i="1" s="1"/>
  <c r="X141" i="1"/>
  <c r="C141" i="1" s="1"/>
  <c r="X142" i="1"/>
  <c r="C142" i="1" s="1"/>
  <c r="X143" i="1"/>
  <c r="C143" i="1" s="1"/>
  <c r="X144" i="1"/>
  <c r="C144" i="1" s="1"/>
  <c r="X145" i="1"/>
  <c r="C145" i="1" s="1"/>
  <c r="X146" i="1"/>
  <c r="C146" i="1" s="1"/>
  <c r="X147" i="1"/>
  <c r="C147" i="1" s="1"/>
  <c r="X148" i="1"/>
  <c r="C148" i="1" s="1"/>
  <c r="X149" i="1"/>
  <c r="C149" i="1" s="1"/>
  <c r="X150" i="1"/>
  <c r="C150" i="1" s="1"/>
  <c r="X151" i="1"/>
  <c r="C151" i="1" s="1"/>
  <c r="X152" i="1"/>
  <c r="C152" i="1" s="1"/>
  <c r="X153" i="1"/>
  <c r="C153" i="1" s="1"/>
  <c r="X154" i="1"/>
  <c r="C154" i="1" s="1"/>
  <c r="X155" i="1"/>
  <c r="C155" i="1" s="1"/>
  <c r="X156" i="1"/>
  <c r="C156" i="1" s="1"/>
  <c r="X157" i="1"/>
  <c r="C157" i="1" s="1"/>
  <c r="X158" i="1"/>
  <c r="C158" i="1" s="1"/>
  <c r="X159" i="1"/>
  <c r="C159" i="1" s="1"/>
  <c r="X160" i="1"/>
  <c r="C160" i="1" s="1"/>
  <c r="X161" i="1"/>
  <c r="C161" i="1" s="1"/>
  <c r="X162" i="1"/>
  <c r="C162" i="1" s="1"/>
  <c r="X163" i="1"/>
  <c r="C163" i="1" s="1"/>
  <c r="X164" i="1"/>
  <c r="C164" i="1" s="1"/>
  <c r="X165" i="1"/>
  <c r="C165" i="1" s="1"/>
  <c r="X166" i="1"/>
  <c r="C166" i="1" s="1"/>
  <c r="X167" i="1"/>
  <c r="C167" i="1" s="1"/>
  <c r="X168" i="1"/>
  <c r="C168" i="1" s="1"/>
  <c r="X169" i="1"/>
  <c r="C169" i="1" s="1"/>
  <c r="X170" i="1"/>
  <c r="C170" i="1" s="1"/>
  <c r="X171" i="1"/>
  <c r="C171" i="1" s="1"/>
  <c r="X172" i="1"/>
  <c r="C172" i="1" s="1"/>
  <c r="X173" i="1"/>
  <c r="C173" i="1" s="1"/>
  <c r="X174" i="1"/>
  <c r="C174" i="1" s="1"/>
  <c r="X175" i="1"/>
  <c r="C175" i="1" s="1"/>
  <c r="X176" i="1"/>
  <c r="C176" i="1" s="1"/>
  <c r="X177" i="1"/>
  <c r="C177" i="1" s="1"/>
  <c r="X178" i="1"/>
  <c r="C178" i="1" s="1"/>
  <c r="X179" i="1"/>
  <c r="C179" i="1" s="1"/>
  <c r="X180" i="1"/>
  <c r="C180" i="1" s="1"/>
  <c r="X181" i="1"/>
  <c r="C181" i="1" s="1"/>
  <c r="X182" i="1"/>
  <c r="C182" i="1" s="1"/>
  <c r="X183" i="1"/>
  <c r="C183" i="1" s="1"/>
  <c r="X184" i="1"/>
  <c r="C184" i="1" s="1"/>
  <c r="X185" i="1"/>
  <c r="C185" i="1" s="1"/>
  <c r="X186" i="1"/>
  <c r="C186" i="1" s="1"/>
  <c r="X187" i="1"/>
  <c r="C187" i="1" s="1"/>
  <c r="X188" i="1"/>
  <c r="C188" i="1" s="1"/>
  <c r="X189" i="1"/>
  <c r="C189" i="1" s="1"/>
  <c r="X190" i="1"/>
  <c r="C190" i="1" s="1"/>
  <c r="X191" i="1"/>
  <c r="C191" i="1" s="1"/>
  <c r="X192" i="1"/>
  <c r="C192" i="1" s="1"/>
  <c r="X193" i="1"/>
  <c r="C193" i="1" s="1"/>
  <c r="X194" i="1"/>
  <c r="C194" i="1" s="1"/>
  <c r="X195" i="1"/>
  <c r="C195" i="1" s="1"/>
  <c r="X196" i="1"/>
  <c r="C196" i="1" s="1"/>
  <c r="X197" i="1"/>
  <c r="C197" i="1" s="1"/>
  <c r="X198" i="1"/>
  <c r="C198" i="1" s="1"/>
  <c r="X199" i="1"/>
  <c r="C199" i="1" s="1"/>
  <c r="X200" i="1"/>
  <c r="C200" i="1" s="1"/>
  <c r="X201" i="1"/>
  <c r="C201" i="1" s="1"/>
  <c r="X202" i="1"/>
  <c r="C202" i="1" s="1"/>
  <c r="X203" i="1"/>
  <c r="C203" i="1" s="1"/>
  <c r="X204" i="1"/>
  <c r="C204" i="1" s="1"/>
  <c r="X205" i="1"/>
  <c r="C205" i="1" s="1"/>
  <c r="X206" i="1"/>
  <c r="C206" i="1" s="1"/>
  <c r="X207" i="1"/>
  <c r="C207" i="1" s="1"/>
  <c r="X208" i="1"/>
  <c r="C208" i="1" s="1"/>
  <c r="X209" i="1"/>
  <c r="C209" i="1" s="1"/>
  <c r="X210" i="1"/>
  <c r="C210" i="1" s="1"/>
  <c r="X211" i="1"/>
  <c r="C211" i="1" s="1"/>
  <c r="X212" i="1"/>
  <c r="C212" i="1" s="1"/>
  <c r="X213" i="1"/>
  <c r="C213" i="1" s="1"/>
  <c r="X214" i="1"/>
  <c r="C214" i="1" s="1"/>
  <c r="X215" i="1"/>
  <c r="C215" i="1" s="1"/>
  <c r="X216" i="1"/>
  <c r="C216" i="1" s="1"/>
  <c r="X217" i="1"/>
  <c r="C217" i="1" s="1"/>
  <c r="X218" i="1"/>
  <c r="C218" i="1" s="1"/>
  <c r="X219" i="1"/>
  <c r="C219" i="1" s="1"/>
  <c r="X220" i="1"/>
  <c r="C220" i="1" s="1"/>
  <c r="X221" i="1"/>
  <c r="C221" i="1" s="1"/>
  <c r="X222" i="1"/>
  <c r="C222" i="1" s="1"/>
  <c r="X223" i="1"/>
  <c r="C223" i="1" s="1"/>
  <c r="X224" i="1"/>
  <c r="C224" i="1" s="1"/>
  <c r="X225" i="1"/>
  <c r="C225" i="1" s="1"/>
  <c r="X226" i="1"/>
  <c r="C226" i="1" s="1"/>
  <c r="X227" i="1"/>
  <c r="C227" i="1" s="1"/>
  <c r="X228" i="1"/>
  <c r="C228" i="1" s="1"/>
  <c r="X229" i="1"/>
  <c r="C229" i="1" s="1"/>
  <c r="X230" i="1"/>
  <c r="C230" i="1" s="1"/>
  <c r="X231" i="1"/>
  <c r="C231" i="1" s="1"/>
  <c r="X232" i="1"/>
  <c r="C232" i="1" s="1"/>
  <c r="X233" i="1"/>
  <c r="C233" i="1" s="1"/>
  <c r="X234" i="1"/>
  <c r="C234" i="1" s="1"/>
  <c r="X235" i="1"/>
  <c r="C235" i="1" s="1"/>
  <c r="X236" i="1"/>
  <c r="C236" i="1" s="1"/>
  <c r="X237" i="1"/>
  <c r="C237" i="1" s="1"/>
  <c r="X238" i="1"/>
  <c r="C238" i="1" s="1"/>
  <c r="X239" i="1"/>
  <c r="C239" i="1" s="1"/>
  <c r="X240" i="1"/>
  <c r="C240" i="1" s="1"/>
  <c r="X241" i="1"/>
  <c r="C241" i="1" s="1"/>
  <c r="X242" i="1"/>
  <c r="C242" i="1" s="1"/>
  <c r="X243" i="1"/>
  <c r="C243" i="1" s="1"/>
  <c r="X244" i="1"/>
  <c r="C244" i="1" s="1"/>
  <c r="X245" i="1"/>
  <c r="C245" i="1" s="1"/>
  <c r="X246" i="1"/>
  <c r="C246" i="1" s="1"/>
  <c r="X247" i="1"/>
  <c r="C247" i="1" s="1"/>
  <c r="X248" i="1"/>
  <c r="C248" i="1" s="1"/>
  <c r="X249" i="1"/>
  <c r="C249" i="1" s="1"/>
  <c r="X250" i="1"/>
  <c r="C250" i="1" s="1"/>
  <c r="X251" i="1"/>
  <c r="C251" i="1" s="1"/>
  <c r="X252" i="1"/>
  <c r="C252" i="1" s="1"/>
  <c r="X253" i="1"/>
  <c r="C253" i="1" s="1"/>
  <c r="X254" i="1"/>
  <c r="C254" i="1" s="1"/>
  <c r="X255" i="1"/>
  <c r="C255" i="1" s="1"/>
  <c r="X256" i="1"/>
  <c r="C256" i="1" s="1"/>
  <c r="X257" i="1"/>
  <c r="C257" i="1" s="1"/>
  <c r="X258" i="1"/>
  <c r="C258" i="1" s="1"/>
  <c r="X259" i="1"/>
  <c r="C259" i="1" s="1"/>
  <c r="X260" i="1"/>
  <c r="C260" i="1" s="1"/>
  <c r="X261" i="1"/>
  <c r="C261" i="1" s="1"/>
  <c r="X262" i="1"/>
  <c r="C262" i="1" s="1"/>
  <c r="X263" i="1"/>
  <c r="C263" i="1" s="1"/>
  <c r="X264" i="1"/>
  <c r="C264" i="1" s="1"/>
  <c r="X265" i="1"/>
  <c r="C265" i="1" s="1"/>
  <c r="X266" i="1"/>
  <c r="C266" i="1" s="1"/>
  <c r="X267" i="1"/>
  <c r="C267" i="1" s="1"/>
  <c r="X268" i="1"/>
  <c r="C268" i="1" s="1"/>
  <c r="X269" i="1"/>
  <c r="C269" i="1" s="1"/>
  <c r="X270" i="1"/>
  <c r="C270" i="1" s="1"/>
  <c r="X271" i="1"/>
  <c r="C271" i="1" s="1"/>
  <c r="X272" i="1"/>
  <c r="C272" i="1" s="1"/>
  <c r="X273" i="1"/>
  <c r="C273" i="1" s="1"/>
  <c r="X274" i="1"/>
  <c r="C274" i="1" s="1"/>
  <c r="X275" i="1"/>
  <c r="C275" i="1" s="1"/>
  <c r="X276" i="1"/>
  <c r="C276" i="1" s="1"/>
  <c r="X277" i="1"/>
  <c r="C277" i="1" s="1"/>
  <c r="X278" i="1"/>
  <c r="C278" i="1" s="1"/>
  <c r="X279" i="1"/>
  <c r="C279" i="1" s="1"/>
  <c r="X280" i="1"/>
  <c r="C280" i="1" s="1"/>
  <c r="X281" i="1"/>
  <c r="C281" i="1" s="1"/>
  <c r="X282" i="1"/>
  <c r="C282" i="1" s="1"/>
  <c r="X283" i="1"/>
  <c r="C283" i="1" s="1"/>
  <c r="X284" i="1"/>
  <c r="C284" i="1" s="1"/>
  <c r="X285" i="1"/>
  <c r="C285" i="1" s="1"/>
  <c r="X286" i="1"/>
  <c r="C286" i="1" s="1"/>
  <c r="X287" i="1"/>
  <c r="C287" i="1" s="1"/>
  <c r="X288" i="1"/>
  <c r="C288" i="1" s="1"/>
  <c r="X289" i="1"/>
  <c r="C289" i="1" s="1"/>
  <c r="X290" i="1"/>
  <c r="C290" i="1" s="1"/>
  <c r="X291" i="1"/>
  <c r="C291" i="1" s="1"/>
  <c r="X292" i="1"/>
  <c r="C292" i="1" s="1"/>
  <c r="X293" i="1"/>
  <c r="C293" i="1" s="1"/>
  <c r="X294" i="1"/>
  <c r="C294" i="1" s="1"/>
  <c r="X295" i="1"/>
  <c r="C295" i="1" s="1"/>
  <c r="X296" i="1"/>
  <c r="C296" i="1" s="1"/>
  <c r="X297" i="1"/>
  <c r="C297" i="1" s="1"/>
  <c r="X298" i="1"/>
  <c r="C298" i="1" s="1"/>
  <c r="X299" i="1"/>
  <c r="C299" i="1" s="1"/>
  <c r="X300" i="1"/>
  <c r="C300" i="1" s="1"/>
  <c r="X301" i="1"/>
  <c r="C301" i="1" s="1"/>
  <c r="X302" i="1"/>
  <c r="C302" i="1" s="1"/>
  <c r="X303" i="1"/>
  <c r="C303" i="1" s="1"/>
  <c r="X304" i="1"/>
  <c r="C304" i="1" s="1"/>
  <c r="X305" i="1"/>
  <c r="C305" i="1" s="1"/>
  <c r="X306" i="1"/>
  <c r="C306" i="1" s="1"/>
  <c r="X307" i="1"/>
  <c r="C307" i="1" s="1"/>
  <c r="X308" i="1"/>
  <c r="C308" i="1" s="1"/>
  <c r="X309" i="1"/>
  <c r="C309" i="1" s="1"/>
  <c r="X310" i="1"/>
  <c r="C310" i="1" s="1"/>
  <c r="X311" i="1"/>
  <c r="C311" i="1" s="1"/>
  <c r="X312" i="1"/>
  <c r="C312" i="1" s="1"/>
  <c r="X313" i="1"/>
  <c r="C313" i="1" s="1"/>
  <c r="X314" i="1"/>
  <c r="C314" i="1" s="1"/>
  <c r="X315" i="1"/>
  <c r="C315" i="1" s="1"/>
  <c r="X316" i="1"/>
  <c r="C316" i="1" s="1"/>
  <c r="X317" i="1"/>
  <c r="C317" i="1" s="1"/>
  <c r="X318" i="1"/>
  <c r="C318" i="1" s="1"/>
  <c r="X319" i="1"/>
  <c r="C319" i="1" s="1"/>
  <c r="X320" i="1"/>
  <c r="C320" i="1" s="1"/>
  <c r="X321" i="1"/>
  <c r="C321" i="1" s="1"/>
  <c r="X322" i="1"/>
  <c r="C322" i="1" s="1"/>
  <c r="X323" i="1"/>
  <c r="C323" i="1" s="1"/>
  <c r="X324" i="1"/>
  <c r="C324" i="1" s="1"/>
  <c r="X325" i="1"/>
  <c r="C325" i="1" s="1"/>
  <c r="X326" i="1"/>
  <c r="C326" i="1" s="1"/>
  <c r="X327" i="1"/>
  <c r="C327" i="1" s="1"/>
  <c r="X328" i="1"/>
  <c r="C328" i="1" s="1"/>
  <c r="X329" i="1"/>
  <c r="C329" i="1" s="1"/>
  <c r="X330" i="1"/>
  <c r="C330" i="1" s="1"/>
  <c r="X331" i="1"/>
  <c r="C331" i="1" s="1"/>
  <c r="X332" i="1"/>
  <c r="C332" i="1" s="1"/>
  <c r="X333" i="1"/>
  <c r="C333" i="1" s="1"/>
  <c r="X334" i="1"/>
  <c r="C334" i="1" s="1"/>
  <c r="X335" i="1"/>
  <c r="C335" i="1" s="1"/>
  <c r="X336" i="1"/>
  <c r="C336" i="1" s="1"/>
  <c r="X337" i="1"/>
  <c r="C337" i="1" s="1"/>
  <c r="X338" i="1"/>
  <c r="C338" i="1" s="1"/>
  <c r="X339" i="1"/>
  <c r="C339" i="1" s="1"/>
  <c r="X340" i="1"/>
  <c r="C340" i="1" s="1"/>
  <c r="X341" i="1"/>
  <c r="C341" i="1" s="1"/>
  <c r="X342" i="1"/>
  <c r="C342" i="1" s="1"/>
  <c r="X343" i="1"/>
  <c r="C343" i="1" s="1"/>
  <c r="X344" i="1"/>
  <c r="C344" i="1" s="1"/>
  <c r="X345" i="1"/>
  <c r="C345" i="1" s="1"/>
  <c r="X346" i="1"/>
  <c r="C346" i="1" s="1"/>
  <c r="X347" i="1"/>
  <c r="C347" i="1" s="1"/>
  <c r="X348" i="1"/>
  <c r="C348" i="1" s="1"/>
  <c r="X349" i="1"/>
  <c r="C349" i="1" s="1"/>
  <c r="X350" i="1"/>
  <c r="C350" i="1" s="1"/>
  <c r="X351" i="1"/>
  <c r="C351" i="1" s="1"/>
  <c r="X352" i="1"/>
  <c r="C352" i="1" s="1"/>
  <c r="X353" i="1"/>
  <c r="C353" i="1" s="1"/>
  <c r="X354" i="1"/>
  <c r="C354" i="1" s="1"/>
  <c r="X355" i="1"/>
  <c r="C355" i="1" s="1"/>
  <c r="X356" i="1"/>
  <c r="C356" i="1" s="1"/>
  <c r="X357" i="1"/>
  <c r="C357" i="1" s="1"/>
  <c r="X358" i="1"/>
  <c r="C358" i="1" s="1"/>
  <c r="X359" i="1"/>
  <c r="C359" i="1" s="1"/>
  <c r="X360" i="1"/>
  <c r="C360" i="1" s="1"/>
  <c r="X361" i="1"/>
  <c r="C361" i="1" s="1"/>
  <c r="X362" i="1"/>
  <c r="C362" i="1" s="1"/>
  <c r="X363" i="1"/>
  <c r="C363" i="1" s="1"/>
  <c r="X364" i="1"/>
  <c r="C364" i="1" s="1"/>
  <c r="X365" i="1"/>
  <c r="C365" i="1" s="1"/>
  <c r="X366" i="1"/>
  <c r="C366" i="1" s="1"/>
  <c r="X367" i="1"/>
  <c r="C367" i="1" s="1"/>
  <c r="X368" i="1"/>
  <c r="C368" i="1" s="1"/>
  <c r="X369" i="1"/>
  <c r="C369" i="1" s="1"/>
  <c r="X370" i="1"/>
  <c r="C370" i="1" s="1"/>
  <c r="X371" i="1"/>
  <c r="C371" i="1" s="1"/>
  <c r="X372" i="1"/>
  <c r="C372" i="1" s="1"/>
  <c r="X373" i="1"/>
  <c r="C373" i="1" s="1"/>
  <c r="X374" i="1"/>
  <c r="C374" i="1" s="1"/>
  <c r="X375" i="1"/>
  <c r="C375" i="1" s="1"/>
  <c r="X376" i="1"/>
  <c r="C376" i="1" s="1"/>
  <c r="X377" i="1"/>
  <c r="C377" i="1" s="1"/>
  <c r="X378" i="1"/>
  <c r="C378" i="1" s="1"/>
  <c r="X379" i="1"/>
  <c r="C379" i="1" s="1"/>
  <c r="X380" i="1"/>
  <c r="C380" i="1" s="1"/>
  <c r="X381" i="1"/>
  <c r="C381" i="1" s="1"/>
  <c r="X382" i="1"/>
  <c r="C382" i="1" s="1"/>
  <c r="X383" i="1"/>
  <c r="C383" i="1" s="1"/>
  <c r="X384" i="1"/>
  <c r="C384" i="1" s="1"/>
  <c r="X385" i="1"/>
  <c r="C385" i="1" s="1"/>
  <c r="X386" i="1"/>
  <c r="C386" i="1" s="1"/>
  <c r="X387" i="1"/>
  <c r="C387" i="1" s="1"/>
  <c r="X388" i="1"/>
  <c r="C388" i="1" s="1"/>
  <c r="X389" i="1"/>
  <c r="C389" i="1" s="1"/>
  <c r="X390" i="1"/>
  <c r="C390" i="1" s="1"/>
  <c r="X391" i="1"/>
  <c r="C391" i="1" s="1"/>
  <c r="X392" i="1"/>
  <c r="C392" i="1" s="1"/>
  <c r="X393" i="1"/>
  <c r="C393" i="1" s="1"/>
  <c r="X394" i="1"/>
  <c r="C394" i="1" s="1"/>
  <c r="X395" i="1"/>
  <c r="C395" i="1" s="1"/>
  <c r="X396" i="1"/>
  <c r="C396" i="1" s="1"/>
  <c r="X397" i="1"/>
  <c r="C397" i="1" s="1"/>
  <c r="X398" i="1"/>
  <c r="C398" i="1" s="1"/>
  <c r="X399" i="1"/>
  <c r="C399" i="1" s="1"/>
  <c r="X400" i="1"/>
  <c r="C400" i="1" s="1"/>
  <c r="X401" i="1"/>
  <c r="C401" i="1" s="1"/>
  <c r="X402" i="1"/>
  <c r="C402" i="1" s="1"/>
  <c r="X403" i="1"/>
  <c r="C403" i="1" s="1"/>
  <c r="X404" i="1"/>
  <c r="C404" i="1" s="1"/>
  <c r="X405" i="1"/>
  <c r="C405" i="1" s="1"/>
  <c r="X406" i="1"/>
  <c r="C406" i="1" s="1"/>
  <c r="X407" i="1"/>
  <c r="C407" i="1" s="1"/>
  <c r="X408" i="1"/>
  <c r="C408" i="1" s="1"/>
  <c r="X409" i="1"/>
  <c r="C409" i="1" s="1"/>
  <c r="X410" i="1"/>
  <c r="C410" i="1" s="1"/>
  <c r="X411" i="1"/>
  <c r="C411" i="1" s="1"/>
  <c r="X412" i="1"/>
  <c r="C412" i="1" s="1"/>
  <c r="X413" i="1"/>
  <c r="C413" i="1" s="1"/>
  <c r="X414" i="1"/>
  <c r="C414" i="1" s="1"/>
  <c r="X415" i="1"/>
  <c r="C415" i="1" s="1"/>
  <c r="X416" i="1"/>
  <c r="C416" i="1" s="1"/>
  <c r="X417" i="1"/>
  <c r="C417" i="1" s="1"/>
  <c r="X418" i="1"/>
  <c r="C418" i="1" s="1"/>
  <c r="X419" i="1"/>
  <c r="C419" i="1" s="1"/>
  <c r="X420" i="1"/>
  <c r="C420" i="1" s="1"/>
  <c r="X421" i="1"/>
  <c r="C421" i="1" s="1"/>
  <c r="X422" i="1"/>
  <c r="C422" i="1" s="1"/>
  <c r="X423" i="1"/>
  <c r="C423" i="1" s="1"/>
  <c r="X424" i="1"/>
  <c r="C424" i="1" s="1"/>
  <c r="X425" i="1"/>
  <c r="C425" i="1" s="1"/>
  <c r="X426" i="1"/>
  <c r="C426" i="1" s="1"/>
  <c r="X427" i="1"/>
  <c r="C427" i="1" s="1"/>
  <c r="X428" i="1"/>
  <c r="C428" i="1" s="1"/>
  <c r="X429" i="1"/>
  <c r="C429" i="1" s="1"/>
  <c r="X430" i="1"/>
  <c r="C430" i="1" s="1"/>
  <c r="X431" i="1"/>
  <c r="C431" i="1" s="1"/>
  <c r="X432" i="1"/>
  <c r="C432" i="1" s="1"/>
  <c r="X433" i="1"/>
  <c r="C433" i="1" s="1"/>
  <c r="X434" i="1"/>
  <c r="C434" i="1" s="1"/>
  <c r="X435" i="1"/>
  <c r="C435" i="1" s="1"/>
  <c r="X436" i="1"/>
  <c r="C436" i="1" s="1"/>
  <c r="X437" i="1"/>
  <c r="C437" i="1" s="1"/>
  <c r="X438" i="1"/>
  <c r="C438" i="1" s="1"/>
  <c r="X439" i="1"/>
  <c r="C439" i="1" s="1"/>
  <c r="X440" i="1"/>
  <c r="C440" i="1" s="1"/>
  <c r="X441" i="1"/>
  <c r="C441" i="1" s="1"/>
  <c r="X442" i="1"/>
  <c r="C442" i="1" s="1"/>
  <c r="X443" i="1"/>
  <c r="C443" i="1" s="1"/>
  <c r="X444" i="1"/>
  <c r="C444" i="1" s="1"/>
  <c r="X445" i="1"/>
  <c r="C445" i="1" s="1"/>
  <c r="X446" i="1"/>
  <c r="C446" i="1" s="1"/>
  <c r="X447" i="1"/>
  <c r="C447" i="1" s="1"/>
  <c r="X448" i="1"/>
  <c r="C448" i="1" s="1"/>
  <c r="X449" i="1"/>
  <c r="C449" i="1" s="1"/>
  <c r="X450" i="1"/>
  <c r="C450" i="1" s="1"/>
  <c r="X451" i="1"/>
  <c r="C451" i="1" s="1"/>
  <c r="X452" i="1"/>
  <c r="C452" i="1" s="1"/>
  <c r="X453" i="1"/>
  <c r="C453" i="1" s="1"/>
  <c r="X454" i="1"/>
  <c r="C454" i="1" s="1"/>
  <c r="X455" i="1"/>
  <c r="C455" i="1" s="1"/>
  <c r="X456" i="1"/>
  <c r="C456" i="1" s="1"/>
  <c r="X457" i="1"/>
  <c r="C457" i="1" s="1"/>
  <c r="X458" i="1"/>
  <c r="C458" i="1" s="1"/>
  <c r="X459" i="1"/>
  <c r="C459" i="1" s="1"/>
  <c r="X460" i="1"/>
  <c r="C460" i="1" s="1"/>
  <c r="X461" i="1"/>
  <c r="C461" i="1" s="1"/>
  <c r="X462" i="1"/>
  <c r="C462" i="1" s="1"/>
  <c r="X463" i="1"/>
  <c r="C463" i="1" s="1"/>
  <c r="X464" i="1"/>
  <c r="C464" i="1" s="1"/>
  <c r="X465" i="1"/>
  <c r="C465" i="1" s="1"/>
  <c r="X466" i="1"/>
  <c r="C466" i="1" s="1"/>
  <c r="X467" i="1"/>
  <c r="C467" i="1" s="1"/>
  <c r="X468" i="1"/>
  <c r="C468" i="1" s="1"/>
  <c r="X469" i="1"/>
  <c r="C469" i="1" s="1"/>
  <c r="X470" i="1"/>
  <c r="C470" i="1" s="1"/>
  <c r="X471" i="1"/>
  <c r="C471" i="1" s="1"/>
  <c r="X472" i="1"/>
  <c r="C472" i="1" s="1"/>
  <c r="X473" i="1"/>
  <c r="C473" i="1" s="1"/>
  <c r="X474" i="1"/>
  <c r="C474" i="1" s="1"/>
  <c r="X475" i="1"/>
  <c r="C475" i="1" s="1"/>
  <c r="X476" i="1"/>
  <c r="C476" i="1" s="1"/>
  <c r="X477" i="1"/>
  <c r="C477" i="1" s="1"/>
  <c r="X478" i="1"/>
  <c r="C478" i="1" s="1"/>
  <c r="X479" i="1"/>
  <c r="C479" i="1" s="1"/>
  <c r="X480" i="1"/>
  <c r="C480" i="1" s="1"/>
  <c r="X481" i="1"/>
  <c r="C481" i="1" s="1"/>
  <c r="X482" i="1"/>
  <c r="C482" i="1" s="1"/>
  <c r="X483" i="1"/>
  <c r="C483" i="1" s="1"/>
  <c r="X484" i="1"/>
  <c r="C484" i="1" s="1"/>
  <c r="X485" i="1"/>
  <c r="C485" i="1" s="1"/>
  <c r="X486" i="1"/>
  <c r="C486" i="1" s="1"/>
  <c r="X487" i="1"/>
  <c r="C487" i="1" s="1"/>
  <c r="X488" i="1"/>
  <c r="C488" i="1" s="1"/>
  <c r="X489" i="1"/>
  <c r="C489" i="1" s="1"/>
  <c r="X490" i="1"/>
  <c r="C490" i="1" s="1"/>
  <c r="X491" i="1"/>
  <c r="C491" i="1" s="1"/>
  <c r="X492" i="1"/>
  <c r="C492" i="1" s="1"/>
  <c r="X493" i="1"/>
  <c r="C493" i="1" s="1"/>
  <c r="X494" i="1"/>
  <c r="C494" i="1" s="1"/>
  <c r="X495" i="1"/>
  <c r="C495" i="1" s="1"/>
  <c r="X496" i="1"/>
  <c r="C496" i="1" s="1"/>
  <c r="X497" i="1"/>
  <c r="C497" i="1" s="1"/>
  <c r="X498" i="1"/>
  <c r="C498" i="1" s="1"/>
  <c r="X499" i="1"/>
  <c r="C499" i="1" s="1"/>
  <c r="X500" i="1"/>
  <c r="C500" i="1" s="1"/>
  <c r="X501" i="1"/>
  <c r="C501" i="1" s="1"/>
  <c r="X502" i="1"/>
  <c r="C502" i="1" s="1"/>
  <c r="X503" i="1"/>
  <c r="C503" i="1" s="1"/>
  <c r="X504" i="1"/>
  <c r="C504" i="1" s="1"/>
  <c r="X505" i="1"/>
  <c r="C505" i="1" s="1"/>
  <c r="X506" i="1"/>
  <c r="C506" i="1" s="1"/>
  <c r="X507" i="1"/>
  <c r="C507" i="1" s="1"/>
  <c r="X508" i="1"/>
  <c r="C508" i="1" s="1"/>
  <c r="X509" i="1"/>
  <c r="C509" i="1" s="1"/>
  <c r="X510" i="1"/>
  <c r="C510" i="1" s="1"/>
  <c r="X511" i="1"/>
  <c r="C511" i="1" s="1"/>
  <c r="X512" i="1"/>
  <c r="C512" i="1" s="1"/>
  <c r="X513" i="1"/>
  <c r="C513" i="1" s="1"/>
  <c r="X514" i="1"/>
  <c r="C514" i="1" s="1"/>
  <c r="X515" i="1"/>
  <c r="C515" i="1" s="1"/>
  <c r="X516" i="1"/>
  <c r="C516" i="1" s="1"/>
  <c r="X517" i="1"/>
  <c r="C517" i="1" s="1"/>
  <c r="X518" i="1"/>
  <c r="C518" i="1" s="1"/>
  <c r="X519" i="1"/>
  <c r="C519" i="1" s="1"/>
  <c r="X520" i="1"/>
  <c r="C520" i="1" s="1"/>
  <c r="X521" i="1"/>
  <c r="C521" i="1" s="1"/>
  <c r="X522" i="1"/>
  <c r="C522" i="1" s="1"/>
  <c r="X523" i="1"/>
  <c r="C523" i="1" s="1"/>
  <c r="X524" i="1"/>
  <c r="C524" i="1" s="1"/>
  <c r="X525" i="1"/>
  <c r="C525" i="1" s="1"/>
  <c r="X526" i="1"/>
  <c r="C526" i="1" s="1"/>
  <c r="X527" i="1"/>
  <c r="C527" i="1" s="1"/>
  <c r="X528" i="1"/>
  <c r="C528" i="1" s="1"/>
  <c r="X529" i="1"/>
  <c r="C529" i="1" s="1"/>
  <c r="X530" i="1"/>
  <c r="C530" i="1" s="1"/>
  <c r="X531" i="1"/>
  <c r="C531" i="1" s="1"/>
  <c r="X532" i="1"/>
  <c r="C532" i="1" s="1"/>
  <c r="X533" i="1"/>
  <c r="C533" i="1" s="1"/>
  <c r="X534" i="1"/>
  <c r="C534" i="1" s="1"/>
  <c r="X535" i="1"/>
  <c r="C535" i="1" s="1"/>
  <c r="X536" i="1"/>
  <c r="C536" i="1" s="1"/>
  <c r="X537" i="1"/>
  <c r="C537" i="1" s="1"/>
  <c r="X538" i="1"/>
  <c r="C538" i="1" s="1"/>
  <c r="X539" i="1"/>
  <c r="C539" i="1" s="1"/>
  <c r="X540" i="1"/>
  <c r="C540" i="1" s="1"/>
  <c r="X541" i="1"/>
  <c r="C541" i="1" s="1"/>
  <c r="X542" i="1"/>
  <c r="C542" i="1" s="1"/>
  <c r="X543" i="1"/>
  <c r="C543" i="1" s="1"/>
  <c r="X544" i="1"/>
  <c r="C544" i="1" s="1"/>
  <c r="X545" i="1"/>
  <c r="C545" i="1" s="1"/>
  <c r="X546" i="1"/>
  <c r="C546" i="1" s="1"/>
  <c r="X547" i="1"/>
  <c r="C547" i="1" s="1"/>
  <c r="X548" i="1"/>
  <c r="C548" i="1" s="1"/>
  <c r="X549" i="1"/>
  <c r="C549" i="1" s="1"/>
  <c r="X550" i="1"/>
  <c r="C550" i="1" s="1"/>
  <c r="X551" i="1"/>
  <c r="C551" i="1" s="1"/>
  <c r="X552" i="1"/>
  <c r="C552" i="1" s="1"/>
  <c r="X553" i="1"/>
  <c r="C553" i="1" s="1"/>
  <c r="X554" i="1"/>
  <c r="C554" i="1" s="1"/>
  <c r="X555" i="1"/>
  <c r="C555" i="1" s="1"/>
  <c r="X556" i="1"/>
  <c r="C556" i="1" s="1"/>
  <c r="X557" i="1"/>
  <c r="C557" i="1" s="1"/>
  <c r="X558" i="1"/>
  <c r="C558" i="1" s="1"/>
  <c r="X559" i="1"/>
  <c r="C559" i="1" s="1"/>
  <c r="X560" i="1"/>
  <c r="C560" i="1" s="1"/>
  <c r="X561" i="1"/>
  <c r="C561" i="1" s="1"/>
  <c r="X562" i="1"/>
  <c r="C562" i="1" s="1"/>
  <c r="X563" i="1"/>
  <c r="C563" i="1" s="1"/>
  <c r="X564" i="1"/>
  <c r="C564" i="1" s="1"/>
  <c r="X565" i="1"/>
  <c r="C565" i="1" s="1"/>
  <c r="X566" i="1"/>
  <c r="C566" i="1" s="1"/>
  <c r="X567" i="1"/>
  <c r="C567" i="1" s="1"/>
  <c r="X568" i="1"/>
  <c r="C568" i="1" s="1"/>
  <c r="X569" i="1"/>
  <c r="C569" i="1" s="1"/>
  <c r="X570" i="1"/>
  <c r="C570" i="1" s="1"/>
  <c r="X571" i="1"/>
  <c r="C571" i="1" s="1"/>
  <c r="X572" i="1"/>
  <c r="C572" i="1" s="1"/>
  <c r="X573" i="1"/>
  <c r="C573" i="1" s="1"/>
  <c r="X574" i="1"/>
  <c r="C574" i="1" s="1"/>
  <c r="X575" i="1"/>
  <c r="C575" i="1" s="1"/>
  <c r="X576" i="1"/>
  <c r="C576" i="1" s="1"/>
  <c r="X577" i="1"/>
  <c r="C577" i="1" s="1"/>
  <c r="X578" i="1"/>
  <c r="C578" i="1" s="1"/>
  <c r="X579" i="1"/>
  <c r="C579" i="1" s="1"/>
  <c r="X580" i="1"/>
  <c r="C580" i="1" s="1"/>
  <c r="X581" i="1"/>
  <c r="C581" i="1" s="1"/>
  <c r="X582" i="1"/>
  <c r="C582" i="1" s="1"/>
  <c r="X583" i="1"/>
  <c r="C583" i="1" s="1"/>
  <c r="X584" i="1"/>
  <c r="C584" i="1" s="1"/>
  <c r="X585" i="1"/>
  <c r="C585" i="1" s="1"/>
  <c r="X586" i="1"/>
  <c r="C586" i="1" s="1"/>
  <c r="X587" i="1"/>
  <c r="C587" i="1" s="1"/>
  <c r="X588" i="1"/>
  <c r="C588" i="1" s="1"/>
  <c r="X589" i="1"/>
  <c r="C589" i="1" s="1"/>
  <c r="X590" i="1"/>
  <c r="C590" i="1" s="1"/>
  <c r="X591" i="1"/>
  <c r="C591" i="1" s="1"/>
  <c r="X592" i="1"/>
  <c r="C592" i="1" s="1"/>
  <c r="X593" i="1"/>
  <c r="C593" i="1" s="1"/>
  <c r="X594" i="1"/>
  <c r="C594" i="1" s="1"/>
  <c r="X595" i="1"/>
  <c r="C595" i="1" s="1"/>
  <c r="X596" i="1"/>
  <c r="C596" i="1" s="1"/>
  <c r="X597" i="1"/>
  <c r="C597" i="1" s="1"/>
  <c r="X598" i="1"/>
  <c r="C598" i="1" s="1"/>
  <c r="X599" i="1"/>
  <c r="C599" i="1" s="1"/>
  <c r="X600" i="1"/>
  <c r="C600" i="1" s="1"/>
  <c r="X601" i="1"/>
  <c r="C601" i="1" s="1"/>
  <c r="X602" i="1"/>
  <c r="C602" i="1" s="1"/>
  <c r="X603" i="1"/>
  <c r="C603" i="1" s="1"/>
  <c r="X604" i="1"/>
  <c r="C604" i="1" s="1"/>
  <c r="X605" i="1"/>
  <c r="C605" i="1" s="1"/>
  <c r="X606" i="1"/>
  <c r="C606" i="1" s="1"/>
  <c r="X607" i="1"/>
  <c r="C607" i="1" s="1"/>
  <c r="X608" i="1"/>
  <c r="C608" i="1" s="1"/>
  <c r="X609" i="1"/>
  <c r="C609" i="1" s="1"/>
  <c r="X610" i="1"/>
  <c r="C610" i="1" s="1"/>
  <c r="X611" i="1"/>
  <c r="C611" i="1" s="1"/>
  <c r="X612" i="1"/>
  <c r="C612" i="1" s="1"/>
  <c r="X613" i="1"/>
  <c r="C613" i="1" s="1"/>
  <c r="X614" i="1"/>
  <c r="C614" i="1" s="1"/>
  <c r="X615" i="1"/>
  <c r="C615" i="1" s="1"/>
  <c r="X616" i="1"/>
  <c r="C616" i="1" s="1"/>
  <c r="X617" i="1"/>
  <c r="C617" i="1" s="1"/>
  <c r="X618" i="1"/>
  <c r="C618" i="1" s="1"/>
  <c r="X619" i="1"/>
  <c r="C619" i="1" s="1"/>
  <c r="X620" i="1"/>
  <c r="C620" i="1" s="1"/>
  <c r="X621" i="1"/>
  <c r="C621" i="1" s="1"/>
  <c r="X622" i="1"/>
  <c r="C622" i="1" s="1"/>
  <c r="X623" i="1"/>
  <c r="C623" i="1" s="1"/>
  <c r="X624" i="1"/>
  <c r="C624" i="1" s="1"/>
  <c r="X625" i="1"/>
  <c r="C625" i="1" s="1"/>
  <c r="X626" i="1"/>
  <c r="C626" i="1" s="1"/>
  <c r="X627" i="1"/>
  <c r="C627" i="1" s="1"/>
  <c r="X628" i="1"/>
  <c r="C628" i="1" s="1"/>
  <c r="X629" i="1"/>
  <c r="C629" i="1" s="1"/>
  <c r="X630" i="1"/>
  <c r="C630" i="1" s="1"/>
  <c r="X631" i="1"/>
  <c r="C631" i="1" s="1"/>
  <c r="X632" i="1"/>
  <c r="C632" i="1" s="1"/>
  <c r="X633" i="1"/>
  <c r="C633" i="1" s="1"/>
  <c r="X634" i="1"/>
  <c r="C634" i="1" s="1"/>
  <c r="X635" i="1"/>
  <c r="C635" i="1" s="1"/>
  <c r="X636" i="1"/>
  <c r="C636" i="1" s="1"/>
  <c r="X637" i="1"/>
  <c r="C637" i="1" s="1"/>
  <c r="X638" i="1"/>
  <c r="C638" i="1" s="1"/>
  <c r="X639" i="1"/>
  <c r="C639" i="1" s="1"/>
  <c r="X640" i="1"/>
  <c r="C640" i="1" s="1"/>
  <c r="X641" i="1"/>
  <c r="C641" i="1" s="1"/>
  <c r="X642" i="1"/>
  <c r="C642" i="1" s="1"/>
  <c r="X643" i="1"/>
  <c r="C643" i="1" s="1"/>
  <c r="X644" i="1"/>
  <c r="C644" i="1" s="1"/>
  <c r="X645" i="1"/>
  <c r="C645" i="1" s="1"/>
  <c r="X646" i="1"/>
  <c r="C646" i="1" s="1"/>
  <c r="X647" i="1"/>
  <c r="C647" i="1" s="1"/>
  <c r="X648" i="1"/>
  <c r="C648" i="1" s="1"/>
  <c r="X649" i="1"/>
  <c r="C649" i="1" s="1"/>
  <c r="X650" i="1"/>
  <c r="C650" i="1" s="1"/>
  <c r="X651" i="1"/>
  <c r="C651" i="1" s="1"/>
  <c r="X652" i="1"/>
  <c r="C652" i="1" s="1"/>
  <c r="X653" i="1"/>
  <c r="C653" i="1" s="1"/>
  <c r="X654" i="1"/>
  <c r="C654" i="1" s="1"/>
  <c r="X655" i="1"/>
  <c r="C655" i="1" s="1"/>
  <c r="X656" i="1"/>
  <c r="C656" i="1" s="1"/>
  <c r="X657" i="1"/>
  <c r="C657" i="1" s="1"/>
  <c r="X658" i="1"/>
  <c r="C658" i="1" s="1"/>
  <c r="X659" i="1"/>
  <c r="C659" i="1" s="1"/>
  <c r="X660" i="1"/>
  <c r="C660" i="1" s="1"/>
  <c r="X661" i="1"/>
  <c r="C661" i="1" s="1"/>
  <c r="X662" i="1"/>
  <c r="C662" i="1" s="1"/>
  <c r="X663" i="1"/>
  <c r="C663" i="1" s="1"/>
  <c r="X664" i="1"/>
  <c r="C664" i="1" s="1"/>
  <c r="X665" i="1"/>
  <c r="C665" i="1" s="1"/>
  <c r="X666" i="1"/>
  <c r="C666" i="1" s="1"/>
  <c r="X667" i="1"/>
  <c r="C667" i="1" s="1"/>
  <c r="X668" i="1"/>
  <c r="C668" i="1" s="1"/>
  <c r="X669" i="1"/>
  <c r="C669" i="1" s="1"/>
  <c r="X670" i="1"/>
  <c r="C670" i="1" s="1"/>
  <c r="X671" i="1"/>
  <c r="C671" i="1" s="1"/>
  <c r="X672" i="1"/>
  <c r="C672" i="1" s="1"/>
  <c r="X673" i="1"/>
  <c r="C673" i="1" s="1"/>
  <c r="X674" i="1"/>
  <c r="C674" i="1" s="1"/>
  <c r="X675" i="1"/>
  <c r="C675" i="1" s="1"/>
  <c r="X676" i="1"/>
  <c r="C676" i="1" s="1"/>
  <c r="X677" i="1"/>
  <c r="C677" i="1" s="1"/>
  <c r="X678" i="1"/>
  <c r="C678" i="1" s="1"/>
  <c r="X679" i="1"/>
  <c r="C679" i="1" s="1"/>
  <c r="X680" i="1"/>
  <c r="C680" i="1" s="1"/>
  <c r="X681" i="1"/>
  <c r="C681" i="1" s="1"/>
  <c r="X682" i="1"/>
  <c r="C682" i="1" s="1"/>
  <c r="X683" i="1"/>
  <c r="C683" i="1" s="1"/>
  <c r="X684" i="1"/>
  <c r="C684" i="1" s="1"/>
  <c r="X685" i="1"/>
  <c r="C685" i="1" s="1"/>
  <c r="X686" i="1"/>
  <c r="C686" i="1" s="1"/>
  <c r="X687" i="1"/>
  <c r="C687" i="1" s="1"/>
  <c r="X688" i="1"/>
  <c r="C688" i="1" s="1"/>
  <c r="X689" i="1"/>
  <c r="C689" i="1" s="1"/>
  <c r="X690" i="1"/>
  <c r="C690" i="1" s="1"/>
  <c r="X691" i="1"/>
  <c r="C691" i="1" s="1"/>
  <c r="X692" i="1"/>
  <c r="C692" i="1" s="1"/>
  <c r="X693" i="1"/>
  <c r="C693" i="1" s="1"/>
  <c r="X694" i="1"/>
  <c r="C694" i="1" s="1"/>
  <c r="X695" i="1"/>
  <c r="C695" i="1" s="1"/>
  <c r="X696" i="1"/>
  <c r="C696" i="1" s="1"/>
  <c r="X697" i="1"/>
  <c r="C697" i="1" s="1"/>
  <c r="X698" i="1"/>
  <c r="C698" i="1" s="1"/>
  <c r="X699" i="1"/>
  <c r="C699" i="1" s="1"/>
  <c r="X700" i="1"/>
  <c r="C700" i="1" s="1"/>
  <c r="X701" i="1"/>
  <c r="C701" i="1" s="1"/>
  <c r="X702" i="1"/>
  <c r="C702" i="1" s="1"/>
  <c r="X703" i="1"/>
  <c r="C703" i="1" s="1"/>
  <c r="X704" i="1"/>
  <c r="C704" i="1" s="1"/>
  <c r="X705" i="1"/>
  <c r="C705" i="1" s="1"/>
  <c r="X706" i="1"/>
  <c r="C706" i="1" s="1"/>
  <c r="X707" i="1"/>
  <c r="C707" i="1" s="1"/>
  <c r="X708" i="1"/>
  <c r="C708" i="1" s="1"/>
  <c r="X709" i="1"/>
  <c r="C709" i="1" s="1"/>
  <c r="X710" i="1"/>
  <c r="C710" i="1" s="1"/>
  <c r="X711" i="1"/>
  <c r="C711" i="1" s="1"/>
  <c r="X712" i="1"/>
  <c r="C712" i="1" s="1"/>
  <c r="X713" i="1"/>
  <c r="C713" i="1" s="1"/>
  <c r="X714" i="1"/>
  <c r="C714" i="1" s="1"/>
  <c r="X715" i="1"/>
  <c r="C715" i="1" s="1"/>
  <c r="X716" i="1"/>
  <c r="C716" i="1" s="1"/>
  <c r="X717" i="1"/>
  <c r="C717" i="1" s="1"/>
  <c r="X718" i="1"/>
  <c r="C718" i="1" s="1"/>
  <c r="X719" i="1"/>
  <c r="C719" i="1" s="1"/>
  <c r="X720" i="1"/>
  <c r="C720" i="1" s="1"/>
  <c r="X721" i="1"/>
  <c r="C721" i="1" s="1"/>
  <c r="X722" i="1"/>
  <c r="C722" i="1" s="1"/>
  <c r="X723" i="1"/>
  <c r="C723" i="1" s="1"/>
  <c r="X724" i="1"/>
  <c r="C724" i="1" s="1"/>
  <c r="X725" i="1"/>
  <c r="C725" i="1" s="1"/>
  <c r="X726" i="1"/>
  <c r="C726" i="1" s="1"/>
  <c r="X727" i="1"/>
  <c r="C727" i="1" s="1"/>
  <c r="X728" i="1"/>
  <c r="C728" i="1" s="1"/>
  <c r="X729" i="1"/>
  <c r="C729" i="1" s="1"/>
  <c r="X730" i="1"/>
  <c r="C730" i="1" s="1"/>
  <c r="X731" i="1"/>
  <c r="C731" i="1" s="1"/>
  <c r="X732" i="1"/>
  <c r="C732" i="1" s="1"/>
  <c r="X733" i="1"/>
  <c r="C733" i="1" s="1"/>
  <c r="X734" i="1"/>
  <c r="C734" i="1" s="1"/>
  <c r="X735" i="1"/>
  <c r="C735" i="1" s="1"/>
  <c r="X736" i="1"/>
  <c r="C736" i="1" s="1"/>
  <c r="X737" i="1"/>
  <c r="C737" i="1" s="1"/>
  <c r="X738" i="1"/>
  <c r="C738" i="1" s="1"/>
  <c r="X739" i="1"/>
  <c r="C739" i="1" s="1"/>
  <c r="X740" i="1"/>
  <c r="C740" i="1" s="1"/>
  <c r="X741" i="1"/>
  <c r="C741" i="1" s="1"/>
  <c r="X742" i="1"/>
  <c r="C742" i="1" s="1"/>
  <c r="X743" i="1"/>
  <c r="C743" i="1" s="1"/>
  <c r="X744" i="1"/>
  <c r="C744" i="1" s="1"/>
  <c r="X745" i="1"/>
  <c r="C745" i="1" s="1"/>
  <c r="X746" i="1"/>
  <c r="C746" i="1" s="1"/>
  <c r="X747" i="1"/>
  <c r="C747" i="1" s="1"/>
  <c r="X748" i="1"/>
  <c r="C748" i="1" s="1"/>
  <c r="X749" i="1"/>
  <c r="C749" i="1" s="1"/>
  <c r="X750" i="1"/>
  <c r="C750" i="1" s="1"/>
  <c r="X751" i="1"/>
  <c r="C751" i="1" s="1"/>
  <c r="X752" i="1"/>
  <c r="C752" i="1" s="1"/>
  <c r="X753" i="1"/>
  <c r="C753" i="1" s="1"/>
  <c r="X754" i="1"/>
  <c r="C754" i="1" s="1"/>
  <c r="X755" i="1"/>
  <c r="C755" i="1" s="1"/>
  <c r="X756" i="1"/>
  <c r="C756" i="1" s="1"/>
  <c r="X757" i="1"/>
  <c r="C757" i="1" s="1"/>
  <c r="X758" i="1"/>
  <c r="C758" i="1" s="1"/>
  <c r="X759" i="1"/>
  <c r="C759" i="1" s="1"/>
  <c r="X760" i="1"/>
  <c r="C760" i="1" s="1"/>
  <c r="X761" i="1"/>
  <c r="C761" i="1" s="1"/>
  <c r="X762" i="1"/>
  <c r="C762" i="1" s="1"/>
  <c r="X763" i="1"/>
  <c r="C763" i="1" s="1"/>
  <c r="X764" i="1"/>
  <c r="C764" i="1" s="1"/>
  <c r="X765" i="1"/>
  <c r="C765" i="1" s="1"/>
  <c r="X766" i="1"/>
  <c r="C766" i="1" s="1"/>
  <c r="X767" i="1"/>
  <c r="C767" i="1" s="1"/>
  <c r="X768" i="1"/>
  <c r="C768" i="1" s="1"/>
  <c r="X769" i="1"/>
  <c r="C769" i="1" s="1"/>
  <c r="X770" i="1"/>
  <c r="C770" i="1" s="1"/>
  <c r="X771" i="1"/>
  <c r="C771" i="1" s="1"/>
  <c r="X772" i="1"/>
  <c r="C772" i="1" s="1"/>
  <c r="X773" i="1"/>
  <c r="C773" i="1" s="1"/>
  <c r="X774" i="1"/>
  <c r="C774" i="1" s="1"/>
  <c r="X775" i="1"/>
  <c r="C775" i="1" s="1"/>
  <c r="X776" i="1"/>
  <c r="C776" i="1" s="1"/>
  <c r="X777" i="1"/>
  <c r="C777" i="1" s="1"/>
  <c r="X778" i="1"/>
  <c r="C778" i="1" s="1"/>
  <c r="X779" i="1"/>
  <c r="C779" i="1" s="1"/>
  <c r="X780" i="1"/>
  <c r="C780" i="1" s="1"/>
  <c r="X781" i="1"/>
  <c r="C781" i="1" s="1"/>
  <c r="X782" i="1"/>
  <c r="C782" i="1" s="1"/>
  <c r="X783" i="1"/>
  <c r="C783" i="1" s="1"/>
  <c r="X784" i="1"/>
  <c r="C784" i="1" s="1"/>
  <c r="X785" i="1"/>
  <c r="C785" i="1" s="1"/>
  <c r="X786" i="1"/>
  <c r="C786" i="1" s="1"/>
  <c r="X787" i="1"/>
  <c r="C787" i="1" s="1"/>
  <c r="X788" i="1"/>
  <c r="C788" i="1" s="1"/>
  <c r="X789" i="1"/>
  <c r="C789" i="1" s="1"/>
  <c r="X790" i="1"/>
  <c r="C790" i="1" s="1"/>
  <c r="X791" i="1"/>
  <c r="C791" i="1" s="1"/>
  <c r="X792" i="1"/>
  <c r="C792" i="1" s="1"/>
  <c r="X793" i="1"/>
  <c r="C793" i="1" s="1"/>
  <c r="X794" i="1"/>
  <c r="C794" i="1" s="1"/>
  <c r="X795" i="1"/>
  <c r="C795" i="1" s="1"/>
  <c r="X796" i="1"/>
  <c r="C796" i="1" s="1"/>
  <c r="X797" i="1"/>
  <c r="C797" i="1" s="1"/>
  <c r="X798" i="1"/>
  <c r="C798" i="1" s="1"/>
  <c r="X799" i="1"/>
  <c r="C799" i="1" s="1"/>
  <c r="X800" i="1"/>
  <c r="C800" i="1" s="1"/>
  <c r="X801" i="1"/>
  <c r="C801" i="1" s="1"/>
  <c r="X802" i="1"/>
  <c r="C802" i="1" s="1"/>
  <c r="X803" i="1"/>
  <c r="C803" i="1" s="1"/>
  <c r="X804" i="1"/>
  <c r="C804" i="1" s="1"/>
  <c r="X805" i="1"/>
  <c r="C805" i="1" s="1"/>
  <c r="X806" i="1"/>
  <c r="C806" i="1" s="1"/>
  <c r="X807" i="1"/>
  <c r="C807" i="1" s="1"/>
  <c r="X808" i="1"/>
  <c r="C808" i="1" s="1"/>
  <c r="X809" i="1"/>
  <c r="C809" i="1" s="1"/>
  <c r="X810" i="1"/>
  <c r="C810" i="1" s="1"/>
  <c r="X811" i="1"/>
  <c r="C811" i="1" s="1"/>
  <c r="X812" i="1"/>
  <c r="C812" i="1" s="1"/>
  <c r="X813" i="1"/>
  <c r="C813" i="1" s="1"/>
  <c r="X814" i="1"/>
  <c r="C814" i="1" s="1"/>
  <c r="X815" i="1"/>
  <c r="C815" i="1" s="1"/>
  <c r="X816" i="1"/>
  <c r="C816" i="1" s="1"/>
  <c r="X817" i="1"/>
  <c r="C817" i="1" s="1"/>
  <c r="X818" i="1"/>
  <c r="C818" i="1" s="1"/>
  <c r="X819" i="1"/>
  <c r="C819" i="1" s="1"/>
  <c r="X820" i="1"/>
  <c r="C820" i="1" s="1"/>
  <c r="X821" i="1"/>
  <c r="C821" i="1" s="1"/>
  <c r="X822" i="1"/>
  <c r="C822" i="1" s="1"/>
  <c r="X823" i="1"/>
  <c r="C823" i="1" s="1"/>
  <c r="X824" i="1"/>
  <c r="C824" i="1" s="1"/>
  <c r="X825" i="1"/>
  <c r="C825" i="1" s="1"/>
  <c r="X826" i="1"/>
  <c r="C826" i="1" s="1"/>
  <c r="X827" i="1"/>
  <c r="C827" i="1" s="1"/>
  <c r="X828" i="1"/>
  <c r="C828" i="1" s="1"/>
  <c r="X829" i="1"/>
  <c r="C829" i="1" s="1"/>
  <c r="X830" i="1"/>
  <c r="C830" i="1" s="1"/>
  <c r="X831" i="1"/>
  <c r="C831" i="1" s="1"/>
  <c r="X832" i="1"/>
  <c r="C832" i="1" s="1"/>
  <c r="X833" i="1"/>
  <c r="C833" i="1" s="1"/>
  <c r="X834" i="1"/>
  <c r="C834" i="1" s="1"/>
  <c r="X835" i="1"/>
  <c r="C835" i="1" s="1"/>
  <c r="X836" i="1"/>
  <c r="C836" i="1" s="1"/>
  <c r="X837" i="1"/>
  <c r="C837" i="1" s="1"/>
  <c r="X838" i="1"/>
  <c r="C838" i="1" s="1"/>
  <c r="X839" i="1"/>
  <c r="C839" i="1" s="1"/>
  <c r="X840" i="1"/>
  <c r="C840" i="1" s="1"/>
  <c r="X841" i="1"/>
  <c r="C841" i="1" s="1"/>
  <c r="X842" i="1"/>
  <c r="C842" i="1" s="1"/>
  <c r="X843" i="1"/>
  <c r="C843" i="1" s="1"/>
  <c r="X844" i="1"/>
  <c r="C844" i="1" s="1"/>
  <c r="X845" i="1"/>
  <c r="C845" i="1" s="1"/>
  <c r="X846" i="1"/>
  <c r="C846" i="1" s="1"/>
  <c r="X847" i="1"/>
  <c r="C847" i="1" s="1"/>
  <c r="X848" i="1"/>
  <c r="C848" i="1" s="1"/>
  <c r="X849" i="1"/>
  <c r="C849" i="1" s="1"/>
  <c r="X850" i="1"/>
  <c r="C850" i="1" s="1"/>
  <c r="X851" i="1"/>
  <c r="C851" i="1" s="1"/>
  <c r="X852" i="1"/>
  <c r="C852" i="1" s="1"/>
  <c r="X853" i="1"/>
  <c r="C853" i="1" s="1"/>
  <c r="X854" i="1"/>
  <c r="C854" i="1" s="1"/>
  <c r="X855" i="1"/>
  <c r="C855" i="1" s="1"/>
  <c r="X856" i="1"/>
  <c r="C856" i="1" s="1"/>
  <c r="X857" i="1"/>
  <c r="C857" i="1" s="1"/>
  <c r="X858" i="1"/>
  <c r="C858" i="1" s="1"/>
  <c r="X859" i="1"/>
  <c r="C859" i="1" s="1"/>
  <c r="X860" i="1"/>
  <c r="C860" i="1" s="1"/>
  <c r="X861" i="1"/>
  <c r="C861" i="1" s="1"/>
  <c r="X862" i="1"/>
  <c r="C862" i="1" s="1"/>
  <c r="X863" i="1"/>
  <c r="C863" i="1" s="1"/>
  <c r="X864" i="1"/>
  <c r="C864" i="1" s="1"/>
  <c r="X865" i="1"/>
  <c r="C865" i="1" s="1"/>
  <c r="X866" i="1"/>
  <c r="C866" i="1" s="1"/>
  <c r="X867" i="1"/>
  <c r="C867" i="1" s="1"/>
  <c r="X868" i="1"/>
  <c r="C868" i="1" s="1"/>
  <c r="X869" i="1"/>
  <c r="C869" i="1" s="1"/>
  <c r="X870" i="1"/>
  <c r="C870" i="1" s="1"/>
  <c r="X871" i="1"/>
  <c r="C871" i="1" s="1"/>
  <c r="X872" i="1"/>
  <c r="C872" i="1" s="1"/>
  <c r="X873" i="1"/>
  <c r="C873" i="1" s="1"/>
  <c r="X874" i="1"/>
  <c r="C874" i="1" s="1"/>
  <c r="X875" i="1"/>
  <c r="C875" i="1" s="1"/>
  <c r="X876" i="1"/>
  <c r="C876" i="1" s="1"/>
  <c r="X877" i="1"/>
  <c r="C877" i="1" s="1"/>
  <c r="X878" i="1"/>
  <c r="C878" i="1" s="1"/>
  <c r="X879" i="1"/>
  <c r="C879" i="1" s="1"/>
  <c r="X880" i="1"/>
  <c r="C880" i="1" s="1"/>
  <c r="X881" i="1"/>
  <c r="C881" i="1" s="1"/>
  <c r="X882" i="1"/>
  <c r="C882" i="1" s="1"/>
  <c r="X883" i="1"/>
  <c r="C883" i="1" s="1"/>
  <c r="X884" i="1"/>
  <c r="C884" i="1" s="1"/>
  <c r="X885" i="1"/>
  <c r="C885" i="1" s="1"/>
  <c r="X886" i="1"/>
  <c r="C886" i="1" s="1"/>
  <c r="X887" i="1"/>
  <c r="C887" i="1" s="1"/>
  <c r="X888" i="1"/>
  <c r="C888" i="1" s="1"/>
  <c r="X889" i="1"/>
  <c r="C889" i="1" s="1"/>
  <c r="X890" i="1"/>
  <c r="C890" i="1" s="1"/>
  <c r="X891" i="1"/>
  <c r="C891" i="1" s="1"/>
  <c r="X892" i="1"/>
  <c r="C892" i="1" s="1"/>
  <c r="X893" i="1"/>
  <c r="C893" i="1" s="1"/>
  <c r="X894" i="1"/>
  <c r="C894" i="1" s="1"/>
  <c r="X895" i="1"/>
  <c r="C895" i="1" s="1"/>
  <c r="X896" i="1"/>
  <c r="C896" i="1" s="1"/>
  <c r="X897" i="1"/>
  <c r="C897" i="1" s="1"/>
  <c r="X898" i="1"/>
  <c r="C898" i="1" s="1"/>
  <c r="X899" i="1"/>
  <c r="C899" i="1" s="1"/>
  <c r="X900" i="1"/>
  <c r="C900" i="1" s="1"/>
  <c r="X901" i="1"/>
  <c r="C901" i="1" s="1"/>
  <c r="X902" i="1"/>
  <c r="C902" i="1" s="1"/>
  <c r="X903" i="1"/>
  <c r="C903" i="1" s="1"/>
  <c r="X904" i="1"/>
  <c r="C904" i="1" s="1"/>
  <c r="X905" i="1"/>
  <c r="C905" i="1" s="1"/>
  <c r="X906" i="1"/>
  <c r="C906" i="1" s="1"/>
  <c r="X907" i="1"/>
  <c r="C907" i="1" s="1"/>
  <c r="X908" i="1"/>
  <c r="C908" i="1" s="1"/>
  <c r="X909" i="1"/>
  <c r="C909" i="1" s="1"/>
  <c r="X910" i="1"/>
  <c r="C910" i="1" s="1"/>
  <c r="X911" i="1"/>
  <c r="C911" i="1" s="1"/>
  <c r="X912" i="1"/>
  <c r="C912" i="1" s="1"/>
  <c r="X913" i="1"/>
  <c r="C913" i="1" s="1"/>
  <c r="X914" i="1"/>
  <c r="C914" i="1" s="1"/>
  <c r="X915" i="1"/>
  <c r="C915" i="1" s="1"/>
  <c r="X916" i="1"/>
  <c r="C916" i="1" s="1"/>
  <c r="X917" i="1"/>
  <c r="C917" i="1" s="1"/>
  <c r="X918" i="1"/>
  <c r="C918" i="1" s="1"/>
  <c r="X919" i="1"/>
  <c r="C919" i="1" s="1"/>
  <c r="X920" i="1"/>
  <c r="C920" i="1" s="1"/>
  <c r="X921" i="1"/>
  <c r="C921" i="1" s="1"/>
  <c r="X922" i="1"/>
  <c r="C922" i="1" s="1"/>
  <c r="X923" i="1"/>
  <c r="C923" i="1" s="1"/>
  <c r="X924" i="1"/>
  <c r="C924" i="1" s="1"/>
  <c r="X925" i="1"/>
  <c r="C925" i="1" s="1"/>
  <c r="X926" i="1"/>
  <c r="C926" i="1" s="1"/>
  <c r="X927" i="1"/>
  <c r="C927" i="1" s="1"/>
  <c r="X928" i="1"/>
  <c r="C928" i="1" s="1"/>
  <c r="X929" i="1"/>
  <c r="C929" i="1" s="1"/>
  <c r="X930" i="1"/>
  <c r="C930" i="1" s="1"/>
  <c r="X931" i="1"/>
  <c r="C931" i="1" s="1"/>
  <c r="X932" i="1"/>
  <c r="C932" i="1" s="1"/>
  <c r="X933" i="1"/>
  <c r="C933" i="1" s="1"/>
  <c r="X934" i="1"/>
  <c r="C934" i="1" s="1"/>
  <c r="X935" i="1"/>
  <c r="C935" i="1" s="1"/>
  <c r="X936" i="1"/>
  <c r="C936" i="1" s="1"/>
  <c r="X937" i="1"/>
  <c r="C937" i="1" s="1"/>
  <c r="X938" i="1"/>
  <c r="C938" i="1" s="1"/>
  <c r="X939" i="1"/>
  <c r="C939" i="1" s="1"/>
  <c r="X940" i="1"/>
  <c r="C940" i="1" s="1"/>
  <c r="X941" i="1"/>
  <c r="C941" i="1" s="1"/>
  <c r="X942" i="1"/>
  <c r="C942" i="1" s="1"/>
  <c r="X943" i="1"/>
  <c r="C943" i="1" s="1"/>
  <c r="X944" i="1"/>
  <c r="C944" i="1" s="1"/>
  <c r="X945" i="1"/>
  <c r="C945" i="1" s="1"/>
  <c r="X946" i="1"/>
  <c r="C946" i="1" s="1"/>
  <c r="X947" i="1"/>
  <c r="C947" i="1" s="1"/>
  <c r="X948" i="1"/>
  <c r="C948" i="1" s="1"/>
  <c r="X949" i="1"/>
  <c r="C949" i="1" s="1"/>
  <c r="X950" i="1"/>
  <c r="C950" i="1" s="1"/>
  <c r="X951" i="1"/>
  <c r="C951" i="1" s="1"/>
  <c r="X952" i="1"/>
  <c r="C952" i="1" s="1"/>
  <c r="X953" i="1"/>
  <c r="C953" i="1" s="1"/>
  <c r="X954" i="1"/>
  <c r="C954" i="1" s="1"/>
  <c r="X955" i="1"/>
  <c r="C955" i="1" s="1"/>
  <c r="X956" i="1"/>
  <c r="C956" i="1" s="1"/>
  <c r="X957" i="1"/>
  <c r="C957" i="1" s="1"/>
  <c r="X958" i="1"/>
  <c r="C958" i="1" s="1"/>
  <c r="X959" i="1"/>
  <c r="C959" i="1" s="1"/>
  <c r="X960" i="1"/>
  <c r="C960" i="1" s="1"/>
  <c r="X961" i="1"/>
  <c r="C961" i="1" s="1"/>
  <c r="X962" i="1"/>
  <c r="C962" i="1" s="1"/>
  <c r="X963" i="1"/>
  <c r="C963" i="1" s="1"/>
  <c r="X964" i="1"/>
  <c r="C964" i="1" s="1"/>
  <c r="X965" i="1"/>
  <c r="C965" i="1" s="1"/>
  <c r="X966" i="1"/>
  <c r="C966" i="1" s="1"/>
  <c r="X967" i="1"/>
  <c r="C967" i="1" s="1"/>
  <c r="X968" i="1"/>
  <c r="C968" i="1" s="1"/>
  <c r="X969" i="1"/>
  <c r="C969" i="1" s="1"/>
  <c r="X970" i="1"/>
  <c r="C970" i="1" s="1"/>
  <c r="X971" i="1"/>
  <c r="C971" i="1" s="1"/>
  <c r="X972" i="1"/>
  <c r="C972" i="1" s="1"/>
  <c r="X973" i="1"/>
  <c r="C973" i="1" s="1"/>
  <c r="X974" i="1"/>
  <c r="C974" i="1" s="1"/>
  <c r="X975" i="1"/>
  <c r="C975" i="1" s="1"/>
  <c r="X976" i="1"/>
  <c r="C976" i="1" s="1"/>
  <c r="X977" i="1"/>
  <c r="C977" i="1" s="1"/>
  <c r="X978" i="1"/>
  <c r="C978" i="1" s="1"/>
  <c r="X979" i="1"/>
  <c r="C979" i="1" s="1"/>
  <c r="X980" i="1"/>
  <c r="C980" i="1" s="1"/>
  <c r="X981" i="1"/>
  <c r="C981" i="1" s="1"/>
  <c r="X982" i="1"/>
  <c r="C982" i="1" s="1"/>
  <c r="X983" i="1"/>
  <c r="C983" i="1" s="1"/>
  <c r="X984" i="1"/>
  <c r="C984" i="1" s="1"/>
  <c r="X985" i="1"/>
  <c r="C985" i="1" s="1"/>
  <c r="X986" i="1"/>
  <c r="C986" i="1" s="1"/>
  <c r="X987" i="1"/>
  <c r="C987" i="1" s="1"/>
  <c r="X988" i="1"/>
  <c r="C988" i="1" s="1"/>
  <c r="X989" i="1"/>
  <c r="C989" i="1" s="1"/>
  <c r="X990" i="1"/>
  <c r="C990" i="1" s="1"/>
  <c r="X991" i="1"/>
  <c r="C991" i="1" s="1"/>
  <c r="X992" i="1"/>
  <c r="C992" i="1" s="1"/>
  <c r="X993" i="1"/>
  <c r="C993" i="1" s="1"/>
  <c r="X994" i="1"/>
  <c r="C994" i="1" s="1"/>
  <c r="X995" i="1"/>
  <c r="C995" i="1" s="1"/>
  <c r="X996" i="1"/>
  <c r="C996" i="1" s="1"/>
  <c r="X997" i="1"/>
  <c r="C997" i="1" s="1"/>
  <c r="X998" i="1"/>
  <c r="C998" i="1" s="1"/>
  <c r="X999" i="1"/>
  <c r="C999" i="1" s="1"/>
  <c r="X2" i="1"/>
  <c r="C2" i="1" s="1"/>
  <c r="B45" i="1"/>
  <c r="B59" i="1"/>
  <c r="B91" i="1"/>
  <c r="B131" i="1"/>
  <c r="B133" i="1"/>
  <c r="B165" i="1"/>
  <c r="B179" i="1"/>
  <c r="B197" i="1"/>
  <c r="B203" i="1"/>
  <c r="B235" i="1"/>
  <c r="B237" i="1"/>
  <c r="B253" i="1"/>
  <c r="B259" i="1"/>
  <c r="B279" i="1"/>
  <c r="B299" i="1"/>
  <c r="B331" i="1"/>
  <c r="B371" i="1"/>
  <c r="B392" i="1"/>
  <c r="B397" i="1"/>
  <c r="B427" i="1"/>
  <c r="B435" i="1"/>
  <c r="B475" i="1"/>
  <c r="B493" i="1"/>
  <c r="B523" i="1"/>
  <c r="B581" i="1"/>
  <c r="B619" i="1"/>
  <c r="B675" i="1"/>
  <c r="B707" i="1"/>
  <c r="B738" i="1"/>
  <c r="B763" i="1"/>
  <c r="B803" i="1"/>
  <c r="B827" i="1"/>
  <c r="B858" i="1"/>
  <c r="B885" i="1"/>
  <c r="B915" i="1"/>
  <c r="B941" i="1"/>
  <c r="B973" i="1"/>
  <c r="W4" i="1"/>
  <c r="B4" i="1" s="1"/>
  <c r="Z4" i="1" s="1"/>
  <c r="E4" i="1" s="1"/>
  <c r="W5" i="1"/>
  <c r="B5" i="1" s="1"/>
  <c r="W6" i="1"/>
  <c r="B6" i="1" s="1"/>
  <c r="Z6" i="1" s="1"/>
  <c r="E6" i="1" s="1"/>
  <c r="W7" i="1"/>
  <c r="B7" i="1" s="1"/>
  <c r="W8" i="1"/>
  <c r="B8" i="1" s="1"/>
  <c r="W9" i="1"/>
  <c r="B9" i="1" s="1"/>
  <c r="W10" i="1"/>
  <c r="B10" i="1" s="1"/>
  <c r="W11" i="1"/>
  <c r="B11" i="1" s="1"/>
  <c r="W12" i="1"/>
  <c r="B12" i="1" s="1"/>
  <c r="W13" i="1"/>
  <c r="B13" i="1" s="1"/>
  <c r="W14" i="1"/>
  <c r="B14" i="1" s="1"/>
  <c r="W15" i="1"/>
  <c r="B15" i="1" s="1"/>
  <c r="W16" i="1"/>
  <c r="B16" i="1" s="1"/>
  <c r="W17" i="1"/>
  <c r="B17" i="1" s="1"/>
  <c r="W18" i="1"/>
  <c r="B18" i="1" s="1"/>
  <c r="W19" i="1"/>
  <c r="B19" i="1" s="1"/>
  <c r="W20" i="1"/>
  <c r="B20" i="1" s="1"/>
  <c r="W21" i="1"/>
  <c r="B21" i="1" s="1"/>
  <c r="W22" i="1"/>
  <c r="B22" i="1" s="1"/>
  <c r="W23" i="1"/>
  <c r="B23" i="1" s="1"/>
  <c r="W24" i="1"/>
  <c r="B24" i="1" s="1"/>
  <c r="W25" i="1"/>
  <c r="B25" i="1" s="1"/>
  <c r="W26" i="1"/>
  <c r="B26" i="1" s="1"/>
  <c r="W27" i="1"/>
  <c r="B27" i="1" s="1"/>
  <c r="W28" i="1"/>
  <c r="B28" i="1" s="1"/>
  <c r="W29" i="1"/>
  <c r="B29" i="1" s="1"/>
  <c r="W30" i="1"/>
  <c r="B30" i="1" s="1"/>
  <c r="W31" i="1"/>
  <c r="B31" i="1" s="1"/>
  <c r="W32" i="1"/>
  <c r="B32" i="1" s="1"/>
  <c r="W33" i="1"/>
  <c r="B33" i="1" s="1"/>
  <c r="W34" i="1"/>
  <c r="B34" i="1" s="1"/>
  <c r="W35" i="1"/>
  <c r="B35" i="1" s="1"/>
  <c r="W36" i="1"/>
  <c r="B36" i="1" s="1"/>
  <c r="W37" i="1"/>
  <c r="B37" i="1" s="1"/>
  <c r="W38" i="1"/>
  <c r="B38" i="1" s="1"/>
  <c r="W39" i="1"/>
  <c r="B39" i="1" s="1"/>
  <c r="W40" i="1"/>
  <c r="B40" i="1" s="1"/>
  <c r="W41" i="1"/>
  <c r="B41" i="1" s="1"/>
  <c r="W42" i="1"/>
  <c r="B42" i="1" s="1"/>
  <c r="W43" i="1"/>
  <c r="B43" i="1" s="1"/>
  <c r="W44" i="1"/>
  <c r="B44" i="1" s="1"/>
  <c r="W45" i="1"/>
  <c r="W46" i="1"/>
  <c r="B46" i="1" s="1"/>
  <c r="W47" i="1"/>
  <c r="B47" i="1" s="1"/>
  <c r="W48" i="1"/>
  <c r="B48" i="1" s="1"/>
  <c r="W49" i="1"/>
  <c r="B49" i="1" s="1"/>
  <c r="W50" i="1"/>
  <c r="B50" i="1" s="1"/>
  <c r="W51" i="1"/>
  <c r="B51" i="1" s="1"/>
  <c r="W52" i="1"/>
  <c r="B52" i="1" s="1"/>
  <c r="W53" i="1"/>
  <c r="B53" i="1" s="1"/>
  <c r="W54" i="1"/>
  <c r="B54" i="1" s="1"/>
  <c r="W55" i="1"/>
  <c r="B55" i="1" s="1"/>
  <c r="W56" i="1"/>
  <c r="B56" i="1" s="1"/>
  <c r="W57" i="1"/>
  <c r="B57" i="1" s="1"/>
  <c r="W58" i="1"/>
  <c r="B58" i="1" s="1"/>
  <c r="W59" i="1"/>
  <c r="W60" i="1"/>
  <c r="B60" i="1" s="1"/>
  <c r="W61" i="1"/>
  <c r="B61" i="1" s="1"/>
  <c r="W62" i="1"/>
  <c r="B62" i="1" s="1"/>
  <c r="W63" i="1"/>
  <c r="B63" i="1" s="1"/>
  <c r="W64" i="1"/>
  <c r="B64" i="1" s="1"/>
  <c r="W65" i="1"/>
  <c r="B65" i="1" s="1"/>
  <c r="W66" i="1"/>
  <c r="B66" i="1" s="1"/>
  <c r="W67" i="1"/>
  <c r="B67" i="1" s="1"/>
  <c r="W68" i="1"/>
  <c r="B68" i="1" s="1"/>
  <c r="W69" i="1"/>
  <c r="B69" i="1" s="1"/>
  <c r="W70" i="1"/>
  <c r="B70" i="1" s="1"/>
  <c r="W71" i="1"/>
  <c r="B71" i="1" s="1"/>
  <c r="W72" i="1"/>
  <c r="B72" i="1" s="1"/>
  <c r="W73" i="1"/>
  <c r="B73" i="1" s="1"/>
  <c r="W74" i="1"/>
  <c r="B74" i="1" s="1"/>
  <c r="W75" i="1"/>
  <c r="B75" i="1" s="1"/>
  <c r="W76" i="1"/>
  <c r="B76" i="1" s="1"/>
  <c r="W77" i="1"/>
  <c r="B77" i="1" s="1"/>
  <c r="W78" i="1"/>
  <c r="B78" i="1" s="1"/>
  <c r="W79" i="1"/>
  <c r="B79" i="1" s="1"/>
  <c r="W80" i="1"/>
  <c r="B80" i="1" s="1"/>
  <c r="W81" i="1"/>
  <c r="B81" i="1" s="1"/>
  <c r="W82" i="1"/>
  <c r="B82" i="1" s="1"/>
  <c r="W83" i="1"/>
  <c r="B83" i="1" s="1"/>
  <c r="W84" i="1"/>
  <c r="B84" i="1" s="1"/>
  <c r="W85" i="1"/>
  <c r="B85" i="1" s="1"/>
  <c r="W86" i="1"/>
  <c r="B86" i="1" s="1"/>
  <c r="W87" i="1"/>
  <c r="B87" i="1" s="1"/>
  <c r="W88" i="1"/>
  <c r="B88" i="1" s="1"/>
  <c r="W89" i="1"/>
  <c r="B89" i="1" s="1"/>
  <c r="W90" i="1"/>
  <c r="B90" i="1" s="1"/>
  <c r="W91" i="1"/>
  <c r="W92" i="1"/>
  <c r="B92" i="1" s="1"/>
  <c r="W93" i="1"/>
  <c r="B93" i="1" s="1"/>
  <c r="W94" i="1"/>
  <c r="B94" i="1" s="1"/>
  <c r="W95" i="1"/>
  <c r="B95" i="1" s="1"/>
  <c r="W96" i="1"/>
  <c r="B96" i="1" s="1"/>
  <c r="W97" i="1"/>
  <c r="B97" i="1" s="1"/>
  <c r="W98" i="1"/>
  <c r="B98" i="1" s="1"/>
  <c r="W99" i="1"/>
  <c r="B99" i="1" s="1"/>
  <c r="W100" i="1"/>
  <c r="B100" i="1" s="1"/>
  <c r="W101" i="1"/>
  <c r="B101" i="1" s="1"/>
  <c r="W102" i="1"/>
  <c r="B102" i="1" s="1"/>
  <c r="W103" i="1"/>
  <c r="B103" i="1" s="1"/>
  <c r="W104" i="1"/>
  <c r="B104" i="1" s="1"/>
  <c r="W105" i="1"/>
  <c r="B105" i="1" s="1"/>
  <c r="W106" i="1"/>
  <c r="B106" i="1" s="1"/>
  <c r="W107" i="1"/>
  <c r="B107" i="1" s="1"/>
  <c r="W108" i="1"/>
  <c r="B108" i="1" s="1"/>
  <c r="W109" i="1"/>
  <c r="B109" i="1" s="1"/>
  <c r="W110" i="1"/>
  <c r="B110" i="1" s="1"/>
  <c r="W111" i="1"/>
  <c r="B111" i="1" s="1"/>
  <c r="W112" i="1"/>
  <c r="B112" i="1" s="1"/>
  <c r="W113" i="1"/>
  <c r="B113" i="1" s="1"/>
  <c r="W114" i="1"/>
  <c r="B114" i="1" s="1"/>
  <c r="W115" i="1"/>
  <c r="B115" i="1" s="1"/>
  <c r="W116" i="1"/>
  <c r="B116" i="1" s="1"/>
  <c r="W117" i="1"/>
  <c r="B117" i="1" s="1"/>
  <c r="W118" i="1"/>
  <c r="B118" i="1" s="1"/>
  <c r="W119" i="1"/>
  <c r="B119" i="1" s="1"/>
  <c r="W120" i="1"/>
  <c r="B120" i="1" s="1"/>
  <c r="W121" i="1"/>
  <c r="B121" i="1" s="1"/>
  <c r="W122" i="1"/>
  <c r="B122" i="1" s="1"/>
  <c r="W123" i="1"/>
  <c r="B123" i="1" s="1"/>
  <c r="W124" i="1"/>
  <c r="B124" i="1" s="1"/>
  <c r="W125" i="1"/>
  <c r="B125" i="1" s="1"/>
  <c r="W126" i="1"/>
  <c r="B126" i="1" s="1"/>
  <c r="W127" i="1"/>
  <c r="B127" i="1" s="1"/>
  <c r="W128" i="1"/>
  <c r="B128" i="1" s="1"/>
  <c r="W129" i="1"/>
  <c r="B129" i="1" s="1"/>
  <c r="W130" i="1"/>
  <c r="B130" i="1" s="1"/>
  <c r="W131" i="1"/>
  <c r="W132" i="1"/>
  <c r="B132" i="1" s="1"/>
  <c r="W133" i="1"/>
  <c r="W134" i="1"/>
  <c r="B134" i="1" s="1"/>
  <c r="W135" i="1"/>
  <c r="B135" i="1" s="1"/>
  <c r="W136" i="1"/>
  <c r="B136" i="1" s="1"/>
  <c r="W137" i="1"/>
  <c r="B137" i="1" s="1"/>
  <c r="W138" i="1"/>
  <c r="B138" i="1" s="1"/>
  <c r="W139" i="1"/>
  <c r="B139" i="1" s="1"/>
  <c r="W140" i="1"/>
  <c r="B140" i="1" s="1"/>
  <c r="W141" i="1"/>
  <c r="B141" i="1" s="1"/>
  <c r="W142" i="1"/>
  <c r="B142" i="1" s="1"/>
  <c r="W143" i="1"/>
  <c r="B143" i="1" s="1"/>
  <c r="W144" i="1"/>
  <c r="B144" i="1" s="1"/>
  <c r="W145" i="1"/>
  <c r="B145" i="1" s="1"/>
  <c r="W146" i="1"/>
  <c r="B146" i="1" s="1"/>
  <c r="W147" i="1"/>
  <c r="B147" i="1" s="1"/>
  <c r="W148" i="1"/>
  <c r="B148" i="1" s="1"/>
  <c r="W149" i="1"/>
  <c r="B149" i="1" s="1"/>
  <c r="W150" i="1"/>
  <c r="B150" i="1" s="1"/>
  <c r="W151" i="1"/>
  <c r="B151" i="1" s="1"/>
  <c r="W152" i="1"/>
  <c r="B152" i="1" s="1"/>
  <c r="W153" i="1"/>
  <c r="B153" i="1" s="1"/>
  <c r="W154" i="1"/>
  <c r="B154" i="1" s="1"/>
  <c r="W155" i="1"/>
  <c r="B155" i="1" s="1"/>
  <c r="W156" i="1"/>
  <c r="B156" i="1" s="1"/>
  <c r="W157" i="1"/>
  <c r="B157" i="1" s="1"/>
  <c r="W158" i="1"/>
  <c r="B158" i="1" s="1"/>
  <c r="W159" i="1"/>
  <c r="B159" i="1" s="1"/>
  <c r="W160" i="1"/>
  <c r="B160" i="1" s="1"/>
  <c r="W161" i="1"/>
  <c r="B161" i="1" s="1"/>
  <c r="W162" i="1"/>
  <c r="B162" i="1" s="1"/>
  <c r="W163" i="1"/>
  <c r="B163" i="1" s="1"/>
  <c r="W164" i="1"/>
  <c r="B164" i="1" s="1"/>
  <c r="W165" i="1"/>
  <c r="W166" i="1"/>
  <c r="B166" i="1" s="1"/>
  <c r="W167" i="1"/>
  <c r="B167" i="1" s="1"/>
  <c r="W168" i="1"/>
  <c r="B168" i="1" s="1"/>
  <c r="W169" i="1"/>
  <c r="B169" i="1" s="1"/>
  <c r="W170" i="1"/>
  <c r="B170" i="1" s="1"/>
  <c r="W171" i="1"/>
  <c r="B171" i="1" s="1"/>
  <c r="W172" i="1"/>
  <c r="B172" i="1" s="1"/>
  <c r="W173" i="1"/>
  <c r="B173" i="1" s="1"/>
  <c r="W174" i="1"/>
  <c r="B174" i="1" s="1"/>
  <c r="W175" i="1"/>
  <c r="B175" i="1" s="1"/>
  <c r="W176" i="1"/>
  <c r="B176" i="1" s="1"/>
  <c r="W177" i="1"/>
  <c r="B177" i="1" s="1"/>
  <c r="W178" i="1"/>
  <c r="B178" i="1" s="1"/>
  <c r="W179" i="1"/>
  <c r="W180" i="1"/>
  <c r="B180" i="1" s="1"/>
  <c r="W181" i="1"/>
  <c r="B181" i="1" s="1"/>
  <c r="W182" i="1"/>
  <c r="B182" i="1" s="1"/>
  <c r="W183" i="1"/>
  <c r="B183" i="1" s="1"/>
  <c r="W184" i="1"/>
  <c r="B184" i="1" s="1"/>
  <c r="W185" i="1"/>
  <c r="B185" i="1" s="1"/>
  <c r="W186" i="1"/>
  <c r="B186" i="1" s="1"/>
  <c r="W187" i="1"/>
  <c r="B187" i="1" s="1"/>
  <c r="W188" i="1"/>
  <c r="B188" i="1" s="1"/>
  <c r="W189" i="1"/>
  <c r="B189" i="1" s="1"/>
  <c r="W190" i="1"/>
  <c r="B190" i="1" s="1"/>
  <c r="W191" i="1"/>
  <c r="B191" i="1" s="1"/>
  <c r="W192" i="1"/>
  <c r="B192" i="1" s="1"/>
  <c r="W193" i="1"/>
  <c r="B193" i="1" s="1"/>
  <c r="W194" i="1"/>
  <c r="B194" i="1" s="1"/>
  <c r="W195" i="1"/>
  <c r="B195" i="1" s="1"/>
  <c r="W196" i="1"/>
  <c r="B196" i="1" s="1"/>
  <c r="W197" i="1"/>
  <c r="W198" i="1"/>
  <c r="B198" i="1" s="1"/>
  <c r="W199" i="1"/>
  <c r="B199" i="1" s="1"/>
  <c r="W200" i="1"/>
  <c r="B200" i="1" s="1"/>
  <c r="W201" i="1"/>
  <c r="B201" i="1" s="1"/>
  <c r="W202" i="1"/>
  <c r="B202" i="1" s="1"/>
  <c r="W203" i="1"/>
  <c r="W204" i="1"/>
  <c r="B204" i="1" s="1"/>
  <c r="W205" i="1"/>
  <c r="B205" i="1" s="1"/>
  <c r="W206" i="1"/>
  <c r="B206" i="1" s="1"/>
  <c r="W207" i="1"/>
  <c r="B207" i="1" s="1"/>
  <c r="W208" i="1"/>
  <c r="B208" i="1" s="1"/>
  <c r="W209" i="1"/>
  <c r="B209" i="1" s="1"/>
  <c r="W210" i="1"/>
  <c r="B210" i="1" s="1"/>
  <c r="W211" i="1"/>
  <c r="B211" i="1" s="1"/>
  <c r="W212" i="1"/>
  <c r="B212" i="1" s="1"/>
  <c r="W213" i="1"/>
  <c r="B213" i="1" s="1"/>
  <c r="W214" i="1"/>
  <c r="B214" i="1" s="1"/>
  <c r="W215" i="1"/>
  <c r="B215" i="1" s="1"/>
  <c r="W216" i="1"/>
  <c r="B216" i="1" s="1"/>
  <c r="W217" i="1"/>
  <c r="B217" i="1" s="1"/>
  <c r="W218" i="1"/>
  <c r="B218" i="1" s="1"/>
  <c r="W219" i="1"/>
  <c r="B219" i="1" s="1"/>
  <c r="W220" i="1"/>
  <c r="B220" i="1" s="1"/>
  <c r="W221" i="1"/>
  <c r="B221" i="1" s="1"/>
  <c r="W222" i="1"/>
  <c r="B222" i="1" s="1"/>
  <c r="W223" i="1"/>
  <c r="B223" i="1" s="1"/>
  <c r="W224" i="1"/>
  <c r="B224" i="1" s="1"/>
  <c r="W225" i="1"/>
  <c r="B225" i="1" s="1"/>
  <c r="W226" i="1"/>
  <c r="B226" i="1" s="1"/>
  <c r="W227" i="1"/>
  <c r="B227" i="1" s="1"/>
  <c r="W228" i="1"/>
  <c r="B228" i="1" s="1"/>
  <c r="W229" i="1"/>
  <c r="B229" i="1" s="1"/>
  <c r="W230" i="1"/>
  <c r="B230" i="1" s="1"/>
  <c r="W231" i="1"/>
  <c r="B231" i="1" s="1"/>
  <c r="W232" i="1"/>
  <c r="B232" i="1" s="1"/>
  <c r="W233" i="1"/>
  <c r="B233" i="1" s="1"/>
  <c r="W234" i="1"/>
  <c r="B234" i="1" s="1"/>
  <c r="W235" i="1"/>
  <c r="W236" i="1"/>
  <c r="B236" i="1" s="1"/>
  <c r="W237" i="1"/>
  <c r="W238" i="1"/>
  <c r="B238" i="1" s="1"/>
  <c r="W239" i="1"/>
  <c r="B239" i="1" s="1"/>
  <c r="W240" i="1"/>
  <c r="B240" i="1" s="1"/>
  <c r="W241" i="1"/>
  <c r="B241" i="1" s="1"/>
  <c r="W242" i="1"/>
  <c r="B242" i="1" s="1"/>
  <c r="W243" i="1"/>
  <c r="B243" i="1" s="1"/>
  <c r="W244" i="1"/>
  <c r="B244" i="1" s="1"/>
  <c r="W245" i="1"/>
  <c r="B245" i="1" s="1"/>
  <c r="W246" i="1"/>
  <c r="B246" i="1" s="1"/>
  <c r="W247" i="1"/>
  <c r="B247" i="1" s="1"/>
  <c r="W248" i="1"/>
  <c r="B248" i="1" s="1"/>
  <c r="W249" i="1"/>
  <c r="B249" i="1" s="1"/>
  <c r="W250" i="1"/>
  <c r="B250" i="1" s="1"/>
  <c r="W251" i="1"/>
  <c r="B251" i="1" s="1"/>
  <c r="W252" i="1"/>
  <c r="B252" i="1" s="1"/>
  <c r="W253" i="1"/>
  <c r="W254" i="1"/>
  <c r="B254" i="1" s="1"/>
  <c r="W255" i="1"/>
  <c r="B255" i="1" s="1"/>
  <c r="W256" i="1"/>
  <c r="B256" i="1" s="1"/>
  <c r="W257" i="1"/>
  <c r="B257" i="1" s="1"/>
  <c r="W258" i="1"/>
  <c r="B258" i="1" s="1"/>
  <c r="W259" i="1"/>
  <c r="W260" i="1"/>
  <c r="B260" i="1" s="1"/>
  <c r="W261" i="1"/>
  <c r="B261" i="1" s="1"/>
  <c r="W262" i="1"/>
  <c r="B262" i="1" s="1"/>
  <c r="W263" i="1"/>
  <c r="B263" i="1" s="1"/>
  <c r="W264" i="1"/>
  <c r="B264" i="1" s="1"/>
  <c r="W265" i="1"/>
  <c r="B265" i="1" s="1"/>
  <c r="W266" i="1"/>
  <c r="B266" i="1" s="1"/>
  <c r="W267" i="1"/>
  <c r="B267" i="1" s="1"/>
  <c r="W268" i="1"/>
  <c r="B268" i="1" s="1"/>
  <c r="W269" i="1"/>
  <c r="B269" i="1" s="1"/>
  <c r="W270" i="1"/>
  <c r="B270" i="1" s="1"/>
  <c r="W271" i="1"/>
  <c r="B271" i="1" s="1"/>
  <c r="W272" i="1"/>
  <c r="B272" i="1" s="1"/>
  <c r="W273" i="1"/>
  <c r="B273" i="1" s="1"/>
  <c r="W274" i="1"/>
  <c r="B274" i="1" s="1"/>
  <c r="W275" i="1"/>
  <c r="B275" i="1" s="1"/>
  <c r="W276" i="1"/>
  <c r="B276" i="1" s="1"/>
  <c r="W277" i="1"/>
  <c r="B277" i="1" s="1"/>
  <c r="W278" i="1"/>
  <c r="B278" i="1" s="1"/>
  <c r="W279" i="1"/>
  <c r="W280" i="1"/>
  <c r="B280" i="1" s="1"/>
  <c r="W281" i="1"/>
  <c r="B281" i="1" s="1"/>
  <c r="W282" i="1"/>
  <c r="B282" i="1" s="1"/>
  <c r="W283" i="1"/>
  <c r="B283" i="1" s="1"/>
  <c r="W284" i="1"/>
  <c r="B284" i="1" s="1"/>
  <c r="W285" i="1"/>
  <c r="B285" i="1" s="1"/>
  <c r="W286" i="1"/>
  <c r="B286" i="1" s="1"/>
  <c r="W287" i="1"/>
  <c r="B287" i="1" s="1"/>
  <c r="W288" i="1"/>
  <c r="B288" i="1" s="1"/>
  <c r="W289" i="1"/>
  <c r="B289" i="1" s="1"/>
  <c r="W290" i="1"/>
  <c r="B290" i="1" s="1"/>
  <c r="W291" i="1"/>
  <c r="B291" i="1" s="1"/>
  <c r="W292" i="1"/>
  <c r="B292" i="1" s="1"/>
  <c r="W293" i="1"/>
  <c r="B293" i="1" s="1"/>
  <c r="W294" i="1"/>
  <c r="B294" i="1" s="1"/>
  <c r="W295" i="1"/>
  <c r="B295" i="1" s="1"/>
  <c r="W296" i="1"/>
  <c r="B296" i="1" s="1"/>
  <c r="W297" i="1"/>
  <c r="B297" i="1" s="1"/>
  <c r="W298" i="1"/>
  <c r="B298" i="1" s="1"/>
  <c r="W299" i="1"/>
  <c r="W300" i="1"/>
  <c r="B300" i="1" s="1"/>
  <c r="W301" i="1"/>
  <c r="B301" i="1" s="1"/>
  <c r="W302" i="1"/>
  <c r="B302" i="1" s="1"/>
  <c r="W303" i="1"/>
  <c r="B303" i="1" s="1"/>
  <c r="W304" i="1"/>
  <c r="B304" i="1" s="1"/>
  <c r="W305" i="1"/>
  <c r="B305" i="1" s="1"/>
  <c r="W306" i="1"/>
  <c r="B306" i="1" s="1"/>
  <c r="W307" i="1"/>
  <c r="B307" i="1" s="1"/>
  <c r="W308" i="1"/>
  <c r="B308" i="1" s="1"/>
  <c r="W309" i="1"/>
  <c r="B309" i="1" s="1"/>
  <c r="W310" i="1"/>
  <c r="B310" i="1" s="1"/>
  <c r="W311" i="1"/>
  <c r="B311" i="1" s="1"/>
  <c r="W312" i="1"/>
  <c r="B312" i="1" s="1"/>
  <c r="W313" i="1"/>
  <c r="B313" i="1" s="1"/>
  <c r="W314" i="1"/>
  <c r="B314" i="1" s="1"/>
  <c r="W315" i="1"/>
  <c r="B315" i="1" s="1"/>
  <c r="W316" i="1"/>
  <c r="B316" i="1" s="1"/>
  <c r="W317" i="1"/>
  <c r="B317" i="1" s="1"/>
  <c r="W318" i="1"/>
  <c r="B318" i="1" s="1"/>
  <c r="W319" i="1"/>
  <c r="B319" i="1" s="1"/>
  <c r="W320" i="1"/>
  <c r="B320" i="1" s="1"/>
  <c r="W321" i="1"/>
  <c r="B321" i="1" s="1"/>
  <c r="W322" i="1"/>
  <c r="B322" i="1" s="1"/>
  <c r="W323" i="1"/>
  <c r="B323" i="1" s="1"/>
  <c r="W324" i="1"/>
  <c r="B324" i="1" s="1"/>
  <c r="W325" i="1"/>
  <c r="B325" i="1" s="1"/>
  <c r="W326" i="1"/>
  <c r="B326" i="1" s="1"/>
  <c r="W327" i="1"/>
  <c r="B327" i="1" s="1"/>
  <c r="W328" i="1"/>
  <c r="B328" i="1" s="1"/>
  <c r="W329" i="1"/>
  <c r="B329" i="1" s="1"/>
  <c r="W330" i="1"/>
  <c r="B330" i="1" s="1"/>
  <c r="W331" i="1"/>
  <c r="W332" i="1"/>
  <c r="B332" i="1" s="1"/>
  <c r="W333" i="1"/>
  <c r="B333" i="1" s="1"/>
  <c r="W334" i="1"/>
  <c r="B334" i="1" s="1"/>
  <c r="W335" i="1"/>
  <c r="B335" i="1" s="1"/>
  <c r="W336" i="1"/>
  <c r="B336" i="1" s="1"/>
  <c r="W337" i="1"/>
  <c r="B337" i="1" s="1"/>
  <c r="W338" i="1"/>
  <c r="B338" i="1" s="1"/>
  <c r="W339" i="1"/>
  <c r="B339" i="1" s="1"/>
  <c r="W340" i="1"/>
  <c r="B340" i="1" s="1"/>
  <c r="W341" i="1"/>
  <c r="B341" i="1" s="1"/>
  <c r="W342" i="1"/>
  <c r="B342" i="1" s="1"/>
  <c r="W343" i="1"/>
  <c r="B343" i="1" s="1"/>
  <c r="W344" i="1"/>
  <c r="B344" i="1" s="1"/>
  <c r="W345" i="1"/>
  <c r="B345" i="1" s="1"/>
  <c r="W346" i="1"/>
  <c r="B346" i="1" s="1"/>
  <c r="W347" i="1"/>
  <c r="B347" i="1" s="1"/>
  <c r="W348" i="1"/>
  <c r="B348" i="1" s="1"/>
  <c r="W349" i="1"/>
  <c r="B349" i="1" s="1"/>
  <c r="W350" i="1"/>
  <c r="B350" i="1" s="1"/>
  <c r="W351" i="1"/>
  <c r="B351" i="1" s="1"/>
  <c r="W352" i="1"/>
  <c r="B352" i="1" s="1"/>
  <c r="W353" i="1"/>
  <c r="B353" i="1" s="1"/>
  <c r="W354" i="1"/>
  <c r="B354" i="1" s="1"/>
  <c r="W355" i="1"/>
  <c r="B355" i="1" s="1"/>
  <c r="W356" i="1"/>
  <c r="B356" i="1" s="1"/>
  <c r="W357" i="1"/>
  <c r="B357" i="1" s="1"/>
  <c r="W358" i="1"/>
  <c r="B358" i="1" s="1"/>
  <c r="W359" i="1"/>
  <c r="B359" i="1" s="1"/>
  <c r="W360" i="1"/>
  <c r="B360" i="1" s="1"/>
  <c r="W361" i="1"/>
  <c r="B361" i="1" s="1"/>
  <c r="W362" i="1"/>
  <c r="B362" i="1" s="1"/>
  <c r="W363" i="1"/>
  <c r="B363" i="1" s="1"/>
  <c r="W364" i="1"/>
  <c r="B364" i="1" s="1"/>
  <c r="W365" i="1"/>
  <c r="B365" i="1" s="1"/>
  <c r="W366" i="1"/>
  <c r="B366" i="1" s="1"/>
  <c r="W367" i="1"/>
  <c r="B367" i="1" s="1"/>
  <c r="W368" i="1"/>
  <c r="B368" i="1" s="1"/>
  <c r="W369" i="1"/>
  <c r="B369" i="1" s="1"/>
  <c r="W370" i="1"/>
  <c r="B370" i="1" s="1"/>
  <c r="W371" i="1"/>
  <c r="W372" i="1"/>
  <c r="B372" i="1" s="1"/>
  <c r="W373" i="1"/>
  <c r="B373" i="1" s="1"/>
  <c r="W374" i="1"/>
  <c r="B374" i="1" s="1"/>
  <c r="W375" i="1"/>
  <c r="B375" i="1" s="1"/>
  <c r="W376" i="1"/>
  <c r="B376" i="1" s="1"/>
  <c r="W377" i="1"/>
  <c r="B377" i="1" s="1"/>
  <c r="W378" i="1"/>
  <c r="B378" i="1" s="1"/>
  <c r="W379" i="1"/>
  <c r="B379" i="1" s="1"/>
  <c r="W380" i="1"/>
  <c r="B380" i="1" s="1"/>
  <c r="W381" i="1"/>
  <c r="B381" i="1" s="1"/>
  <c r="W382" i="1"/>
  <c r="B382" i="1" s="1"/>
  <c r="W383" i="1"/>
  <c r="B383" i="1" s="1"/>
  <c r="W384" i="1"/>
  <c r="B384" i="1" s="1"/>
  <c r="W385" i="1"/>
  <c r="B385" i="1" s="1"/>
  <c r="W386" i="1"/>
  <c r="B386" i="1" s="1"/>
  <c r="W387" i="1"/>
  <c r="B387" i="1" s="1"/>
  <c r="W388" i="1"/>
  <c r="B388" i="1" s="1"/>
  <c r="W389" i="1"/>
  <c r="B389" i="1" s="1"/>
  <c r="W390" i="1"/>
  <c r="B390" i="1" s="1"/>
  <c r="W391" i="1"/>
  <c r="B391" i="1" s="1"/>
  <c r="W392" i="1"/>
  <c r="W393" i="1"/>
  <c r="B393" i="1" s="1"/>
  <c r="W394" i="1"/>
  <c r="B394" i="1" s="1"/>
  <c r="W395" i="1"/>
  <c r="B395" i="1" s="1"/>
  <c r="W396" i="1"/>
  <c r="B396" i="1" s="1"/>
  <c r="W397" i="1"/>
  <c r="W398" i="1"/>
  <c r="B398" i="1" s="1"/>
  <c r="W399" i="1"/>
  <c r="B399" i="1" s="1"/>
  <c r="W400" i="1"/>
  <c r="B400" i="1" s="1"/>
  <c r="W401" i="1"/>
  <c r="B401" i="1" s="1"/>
  <c r="W402" i="1"/>
  <c r="B402" i="1" s="1"/>
  <c r="W403" i="1"/>
  <c r="B403" i="1" s="1"/>
  <c r="W404" i="1"/>
  <c r="B404" i="1" s="1"/>
  <c r="W405" i="1"/>
  <c r="B405" i="1" s="1"/>
  <c r="W406" i="1"/>
  <c r="B406" i="1" s="1"/>
  <c r="W407" i="1"/>
  <c r="B407" i="1" s="1"/>
  <c r="W408" i="1"/>
  <c r="B408" i="1" s="1"/>
  <c r="W409" i="1"/>
  <c r="B409" i="1" s="1"/>
  <c r="W410" i="1"/>
  <c r="B410" i="1" s="1"/>
  <c r="W411" i="1"/>
  <c r="B411" i="1" s="1"/>
  <c r="W412" i="1"/>
  <c r="B412" i="1" s="1"/>
  <c r="W413" i="1"/>
  <c r="B413" i="1" s="1"/>
  <c r="W414" i="1"/>
  <c r="B414" i="1" s="1"/>
  <c r="W415" i="1"/>
  <c r="B415" i="1" s="1"/>
  <c r="W416" i="1"/>
  <c r="B416" i="1" s="1"/>
  <c r="W417" i="1"/>
  <c r="B417" i="1" s="1"/>
  <c r="W418" i="1"/>
  <c r="B418" i="1" s="1"/>
  <c r="W419" i="1"/>
  <c r="B419" i="1" s="1"/>
  <c r="W420" i="1"/>
  <c r="B420" i="1" s="1"/>
  <c r="W421" i="1"/>
  <c r="B421" i="1" s="1"/>
  <c r="W422" i="1"/>
  <c r="B422" i="1" s="1"/>
  <c r="W423" i="1"/>
  <c r="B423" i="1" s="1"/>
  <c r="W424" i="1"/>
  <c r="B424" i="1" s="1"/>
  <c r="W425" i="1"/>
  <c r="B425" i="1" s="1"/>
  <c r="W426" i="1"/>
  <c r="B426" i="1" s="1"/>
  <c r="W427" i="1"/>
  <c r="W428" i="1"/>
  <c r="B428" i="1" s="1"/>
  <c r="W429" i="1"/>
  <c r="B429" i="1" s="1"/>
  <c r="W430" i="1"/>
  <c r="B430" i="1" s="1"/>
  <c r="W431" i="1"/>
  <c r="B431" i="1" s="1"/>
  <c r="W432" i="1"/>
  <c r="B432" i="1" s="1"/>
  <c r="W433" i="1"/>
  <c r="B433" i="1" s="1"/>
  <c r="W434" i="1"/>
  <c r="B434" i="1" s="1"/>
  <c r="W435" i="1"/>
  <c r="W436" i="1"/>
  <c r="B436" i="1" s="1"/>
  <c r="W437" i="1"/>
  <c r="B437" i="1" s="1"/>
  <c r="W438" i="1"/>
  <c r="B438" i="1" s="1"/>
  <c r="W439" i="1"/>
  <c r="B439" i="1" s="1"/>
  <c r="W440" i="1"/>
  <c r="B440" i="1" s="1"/>
  <c r="W441" i="1"/>
  <c r="B441" i="1" s="1"/>
  <c r="W442" i="1"/>
  <c r="B442" i="1" s="1"/>
  <c r="W443" i="1"/>
  <c r="B443" i="1" s="1"/>
  <c r="W444" i="1"/>
  <c r="B444" i="1" s="1"/>
  <c r="W445" i="1"/>
  <c r="B445" i="1" s="1"/>
  <c r="W446" i="1"/>
  <c r="B446" i="1" s="1"/>
  <c r="W447" i="1"/>
  <c r="B447" i="1" s="1"/>
  <c r="W448" i="1"/>
  <c r="B448" i="1" s="1"/>
  <c r="W449" i="1"/>
  <c r="B449" i="1" s="1"/>
  <c r="W450" i="1"/>
  <c r="B450" i="1" s="1"/>
  <c r="W451" i="1"/>
  <c r="B451" i="1" s="1"/>
  <c r="W452" i="1"/>
  <c r="B452" i="1" s="1"/>
  <c r="W453" i="1"/>
  <c r="B453" i="1" s="1"/>
  <c r="W454" i="1"/>
  <c r="B454" i="1" s="1"/>
  <c r="W455" i="1"/>
  <c r="B455" i="1" s="1"/>
  <c r="W456" i="1"/>
  <c r="B456" i="1" s="1"/>
  <c r="W457" i="1"/>
  <c r="B457" i="1" s="1"/>
  <c r="W458" i="1"/>
  <c r="B458" i="1" s="1"/>
  <c r="W459" i="1"/>
  <c r="B459" i="1" s="1"/>
  <c r="W460" i="1"/>
  <c r="B460" i="1" s="1"/>
  <c r="W461" i="1"/>
  <c r="B461" i="1" s="1"/>
  <c r="W462" i="1"/>
  <c r="B462" i="1" s="1"/>
  <c r="W463" i="1"/>
  <c r="B463" i="1" s="1"/>
  <c r="W464" i="1"/>
  <c r="B464" i="1" s="1"/>
  <c r="W465" i="1"/>
  <c r="B465" i="1" s="1"/>
  <c r="W466" i="1"/>
  <c r="B466" i="1" s="1"/>
  <c r="W467" i="1"/>
  <c r="B467" i="1" s="1"/>
  <c r="W468" i="1"/>
  <c r="B468" i="1" s="1"/>
  <c r="W469" i="1"/>
  <c r="B469" i="1" s="1"/>
  <c r="W470" i="1"/>
  <c r="B470" i="1" s="1"/>
  <c r="W471" i="1"/>
  <c r="B471" i="1" s="1"/>
  <c r="W472" i="1"/>
  <c r="B472" i="1" s="1"/>
  <c r="W473" i="1"/>
  <c r="B473" i="1" s="1"/>
  <c r="W474" i="1"/>
  <c r="B474" i="1" s="1"/>
  <c r="W475" i="1"/>
  <c r="W476" i="1"/>
  <c r="B476" i="1" s="1"/>
  <c r="W477" i="1"/>
  <c r="B477" i="1" s="1"/>
  <c r="W478" i="1"/>
  <c r="B478" i="1" s="1"/>
  <c r="W479" i="1"/>
  <c r="B479" i="1" s="1"/>
  <c r="W480" i="1"/>
  <c r="B480" i="1" s="1"/>
  <c r="W481" i="1"/>
  <c r="B481" i="1" s="1"/>
  <c r="W482" i="1"/>
  <c r="B482" i="1" s="1"/>
  <c r="W483" i="1"/>
  <c r="B483" i="1" s="1"/>
  <c r="W484" i="1"/>
  <c r="B484" i="1" s="1"/>
  <c r="W485" i="1"/>
  <c r="B485" i="1" s="1"/>
  <c r="W486" i="1"/>
  <c r="B486" i="1" s="1"/>
  <c r="W487" i="1"/>
  <c r="B487" i="1" s="1"/>
  <c r="W488" i="1"/>
  <c r="B488" i="1" s="1"/>
  <c r="W489" i="1"/>
  <c r="B489" i="1" s="1"/>
  <c r="W490" i="1"/>
  <c r="B490" i="1" s="1"/>
  <c r="W491" i="1"/>
  <c r="B491" i="1" s="1"/>
  <c r="W492" i="1"/>
  <c r="B492" i="1" s="1"/>
  <c r="W493" i="1"/>
  <c r="W494" i="1"/>
  <c r="B494" i="1" s="1"/>
  <c r="W495" i="1"/>
  <c r="B495" i="1" s="1"/>
  <c r="W496" i="1"/>
  <c r="B496" i="1" s="1"/>
  <c r="W497" i="1"/>
  <c r="B497" i="1" s="1"/>
  <c r="W498" i="1"/>
  <c r="B498" i="1" s="1"/>
  <c r="W499" i="1"/>
  <c r="B499" i="1" s="1"/>
  <c r="W500" i="1"/>
  <c r="B500" i="1" s="1"/>
  <c r="W501" i="1"/>
  <c r="B501" i="1" s="1"/>
  <c r="W502" i="1"/>
  <c r="B502" i="1" s="1"/>
  <c r="W503" i="1"/>
  <c r="B503" i="1" s="1"/>
  <c r="W504" i="1"/>
  <c r="B504" i="1" s="1"/>
  <c r="W505" i="1"/>
  <c r="B505" i="1" s="1"/>
  <c r="W506" i="1"/>
  <c r="B506" i="1" s="1"/>
  <c r="W507" i="1"/>
  <c r="B507" i="1" s="1"/>
  <c r="W508" i="1"/>
  <c r="B508" i="1" s="1"/>
  <c r="W509" i="1"/>
  <c r="B509" i="1" s="1"/>
  <c r="W510" i="1"/>
  <c r="B510" i="1" s="1"/>
  <c r="W511" i="1"/>
  <c r="B511" i="1" s="1"/>
  <c r="W512" i="1"/>
  <c r="B512" i="1" s="1"/>
  <c r="W513" i="1"/>
  <c r="B513" i="1" s="1"/>
  <c r="W514" i="1"/>
  <c r="B514" i="1" s="1"/>
  <c r="W515" i="1"/>
  <c r="B515" i="1" s="1"/>
  <c r="W516" i="1"/>
  <c r="B516" i="1" s="1"/>
  <c r="W517" i="1"/>
  <c r="B517" i="1" s="1"/>
  <c r="W518" i="1"/>
  <c r="B518" i="1" s="1"/>
  <c r="W519" i="1"/>
  <c r="B519" i="1" s="1"/>
  <c r="W520" i="1"/>
  <c r="B520" i="1" s="1"/>
  <c r="W521" i="1"/>
  <c r="B521" i="1" s="1"/>
  <c r="W522" i="1"/>
  <c r="B522" i="1" s="1"/>
  <c r="W523" i="1"/>
  <c r="W524" i="1"/>
  <c r="B524" i="1" s="1"/>
  <c r="W525" i="1"/>
  <c r="B525" i="1" s="1"/>
  <c r="W526" i="1"/>
  <c r="B526" i="1" s="1"/>
  <c r="W527" i="1"/>
  <c r="B527" i="1" s="1"/>
  <c r="W528" i="1"/>
  <c r="B528" i="1" s="1"/>
  <c r="W529" i="1"/>
  <c r="B529" i="1" s="1"/>
  <c r="W530" i="1"/>
  <c r="B530" i="1" s="1"/>
  <c r="W531" i="1"/>
  <c r="B531" i="1" s="1"/>
  <c r="W532" i="1"/>
  <c r="B532" i="1" s="1"/>
  <c r="W533" i="1"/>
  <c r="B533" i="1" s="1"/>
  <c r="W534" i="1"/>
  <c r="B534" i="1" s="1"/>
  <c r="W535" i="1"/>
  <c r="B535" i="1" s="1"/>
  <c r="W536" i="1"/>
  <c r="B536" i="1" s="1"/>
  <c r="W537" i="1"/>
  <c r="B537" i="1" s="1"/>
  <c r="W538" i="1"/>
  <c r="B538" i="1" s="1"/>
  <c r="W539" i="1"/>
  <c r="B539" i="1" s="1"/>
  <c r="W540" i="1"/>
  <c r="B540" i="1" s="1"/>
  <c r="W541" i="1"/>
  <c r="B541" i="1" s="1"/>
  <c r="W542" i="1"/>
  <c r="B542" i="1" s="1"/>
  <c r="W543" i="1"/>
  <c r="B543" i="1" s="1"/>
  <c r="W544" i="1"/>
  <c r="B544" i="1" s="1"/>
  <c r="W545" i="1"/>
  <c r="B545" i="1" s="1"/>
  <c r="W546" i="1"/>
  <c r="B546" i="1" s="1"/>
  <c r="W547" i="1"/>
  <c r="B547" i="1" s="1"/>
  <c r="W548" i="1"/>
  <c r="B548" i="1" s="1"/>
  <c r="W549" i="1"/>
  <c r="B549" i="1" s="1"/>
  <c r="W550" i="1"/>
  <c r="B550" i="1" s="1"/>
  <c r="W551" i="1"/>
  <c r="B551" i="1" s="1"/>
  <c r="W552" i="1"/>
  <c r="B552" i="1" s="1"/>
  <c r="W553" i="1"/>
  <c r="B553" i="1" s="1"/>
  <c r="W554" i="1"/>
  <c r="B554" i="1" s="1"/>
  <c r="W555" i="1"/>
  <c r="B555" i="1" s="1"/>
  <c r="W556" i="1"/>
  <c r="B556" i="1" s="1"/>
  <c r="W557" i="1"/>
  <c r="B557" i="1" s="1"/>
  <c r="W558" i="1"/>
  <c r="B558" i="1" s="1"/>
  <c r="W559" i="1"/>
  <c r="B559" i="1" s="1"/>
  <c r="W560" i="1"/>
  <c r="B560" i="1" s="1"/>
  <c r="W561" i="1"/>
  <c r="B561" i="1" s="1"/>
  <c r="W562" i="1"/>
  <c r="B562" i="1" s="1"/>
  <c r="W563" i="1"/>
  <c r="B563" i="1" s="1"/>
  <c r="W564" i="1"/>
  <c r="B564" i="1" s="1"/>
  <c r="W565" i="1"/>
  <c r="B565" i="1" s="1"/>
  <c r="W566" i="1"/>
  <c r="B566" i="1" s="1"/>
  <c r="W567" i="1"/>
  <c r="B567" i="1" s="1"/>
  <c r="W568" i="1"/>
  <c r="B568" i="1" s="1"/>
  <c r="W569" i="1"/>
  <c r="B569" i="1" s="1"/>
  <c r="W570" i="1"/>
  <c r="B570" i="1" s="1"/>
  <c r="W571" i="1"/>
  <c r="B571" i="1" s="1"/>
  <c r="W572" i="1"/>
  <c r="B572" i="1" s="1"/>
  <c r="W573" i="1"/>
  <c r="B573" i="1" s="1"/>
  <c r="W574" i="1"/>
  <c r="B574" i="1" s="1"/>
  <c r="W575" i="1"/>
  <c r="B575" i="1" s="1"/>
  <c r="W576" i="1"/>
  <c r="B576" i="1" s="1"/>
  <c r="W577" i="1"/>
  <c r="B577" i="1" s="1"/>
  <c r="W578" i="1"/>
  <c r="B578" i="1" s="1"/>
  <c r="W579" i="1"/>
  <c r="B579" i="1" s="1"/>
  <c r="W580" i="1"/>
  <c r="B580" i="1" s="1"/>
  <c r="W581" i="1"/>
  <c r="W582" i="1"/>
  <c r="B582" i="1" s="1"/>
  <c r="W583" i="1"/>
  <c r="B583" i="1" s="1"/>
  <c r="W584" i="1"/>
  <c r="B584" i="1" s="1"/>
  <c r="W585" i="1"/>
  <c r="B585" i="1" s="1"/>
  <c r="W586" i="1"/>
  <c r="B586" i="1" s="1"/>
  <c r="W587" i="1"/>
  <c r="B587" i="1" s="1"/>
  <c r="W588" i="1"/>
  <c r="B588" i="1" s="1"/>
  <c r="W589" i="1"/>
  <c r="B589" i="1" s="1"/>
  <c r="W590" i="1"/>
  <c r="B590" i="1" s="1"/>
  <c r="W591" i="1"/>
  <c r="B591" i="1" s="1"/>
  <c r="W592" i="1"/>
  <c r="B592" i="1" s="1"/>
  <c r="W593" i="1"/>
  <c r="B593" i="1" s="1"/>
  <c r="W594" i="1"/>
  <c r="B594" i="1" s="1"/>
  <c r="W595" i="1"/>
  <c r="B595" i="1" s="1"/>
  <c r="W596" i="1"/>
  <c r="B596" i="1" s="1"/>
  <c r="W597" i="1"/>
  <c r="B597" i="1" s="1"/>
  <c r="W598" i="1"/>
  <c r="B598" i="1" s="1"/>
  <c r="W599" i="1"/>
  <c r="B599" i="1" s="1"/>
  <c r="W600" i="1"/>
  <c r="B600" i="1" s="1"/>
  <c r="W601" i="1"/>
  <c r="B601" i="1" s="1"/>
  <c r="W602" i="1"/>
  <c r="B602" i="1" s="1"/>
  <c r="W603" i="1"/>
  <c r="B603" i="1" s="1"/>
  <c r="W604" i="1"/>
  <c r="B604" i="1" s="1"/>
  <c r="W605" i="1"/>
  <c r="B605" i="1" s="1"/>
  <c r="W606" i="1"/>
  <c r="B606" i="1" s="1"/>
  <c r="W607" i="1"/>
  <c r="B607" i="1" s="1"/>
  <c r="W608" i="1"/>
  <c r="B608" i="1" s="1"/>
  <c r="W609" i="1"/>
  <c r="B609" i="1" s="1"/>
  <c r="W610" i="1"/>
  <c r="B610" i="1" s="1"/>
  <c r="W611" i="1"/>
  <c r="B611" i="1" s="1"/>
  <c r="W612" i="1"/>
  <c r="B612" i="1" s="1"/>
  <c r="W613" i="1"/>
  <c r="B613" i="1" s="1"/>
  <c r="W614" i="1"/>
  <c r="B614" i="1" s="1"/>
  <c r="W615" i="1"/>
  <c r="B615" i="1" s="1"/>
  <c r="W616" i="1"/>
  <c r="B616" i="1" s="1"/>
  <c r="W617" i="1"/>
  <c r="B617" i="1" s="1"/>
  <c r="W618" i="1"/>
  <c r="B618" i="1" s="1"/>
  <c r="W619" i="1"/>
  <c r="W620" i="1"/>
  <c r="B620" i="1" s="1"/>
  <c r="W621" i="1"/>
  <c r="B621" i="1" s="1"/>
  <c r="W622" i="1"/>
  <c r="B622" i="1" s="1"/>
  <c r="W623" i="1"/>
  <c r="B623" i="1" s="1"/>
  <c r="W624" i="1"/>
  <c r="B624" i="1" s="1"/>
  <c r="W625" i="1"/>
  <c r="B625" i="1" s="1"/>
  <c r="W626" i="1"/>
  <c r="B626" i="1" s="1"/>
  <c r="W627" i="1"/>
  <c r="B627" i="1" s="1"/>
  <c r="W628" i="1"/>
  <c r="B628" i="1" s="1"/>
  <c r="W629" i="1"/>
  <c r="B629" i="1" s="1"/>
  <c r="W630" i="1"/>
  <c r="B630" i="1" s="1"/>
  <c r="W631" i="1"/>
  <c r="B631" i="1" s="1"/>
  <c r="W632" i="1"/>
  <c r="B632" i="1" s="1"/>
  <c r="W633" i="1"/>
  <c r="B633" i="1" s="1"/>
  <c r="W634" i="1"/>
  <c r="B634" i="1" s="1"/>
  <c r="W635" i="1"/>
  <c r="B635" i="1" s="1"/>
  <c r="W636" i="1"/>
  <c r="B636" i="1" s="1"/>
  <c r="W637" i="1"/>
  <c r="B637" i="1" s="1"/>
  <c r="W638" i="1"/>
  <c r="B638" i="1" s="1"/>
  <c r="W639" i="1"/>
  <c r="B639" i="1" s="1"/>
  <c r="W640" i="1"/>
  <c r="B640" i="1" s="1"/>
  <c r="W641" i="1"/>
  <c r="B641" i="1" s="1"/>
  <c r="W642" i="1"/>
  <c r="B642" i="1" s="1"/>
  <c r="W643" i="1"/>
  <c r="B643" i="1" s="1"/>
  <c r="W644" i="1"/>
  <c r="B644" i="1" s="1"/>
  <c r="W645" i="1"/>
  <c r="B645" i="1" s="1"/>
  <c r="W646" i="1"/>
  <c r="B646" i="1" s="1"/>
  <c r="W647" i="1"/>
  <c r="B647" i="1" s="1"/>
  <c r="W648" i="1"/>
  <c r="B648" i="1" s="1"/>
  <c r="W649" i="1"/>
  <c r="B649" i="1" s="1"/>
  <c r="W650" i="1"/>
  <c r="B650" i="1" s="1"/>
  <c r="W651" i="1"/>
  <c r="B651" i="1" s="1"/>
  <c r="W652" i="1"/>
  <c r="B652" i="1" s="1"/>
  <c r="W653" i="1"/>
  <c r="B653" i="1" s="1"/>
  <c r="W654" i="1"/>
  <c r="B654" i="1" s="1"/>
  <c r="W655" i="1"/>
  <c r="B655" i="1" s="1"/>
  <c r="W656" i="1"/>
  <c r="B656" i="1" s="1"/>
  <c r="W657" i="1"/>
  <c r="B657" i="1" s="1"/>
  <c r="W658" i="1"/>
  <c r="B658" i="1" s="1"/>
  <c r="W659" i="1"/>
  <c r="B659" i="1" s="1"/>
  <c r="W660" i="1"/>
  <c r="B660" i="1" s="1"/>
  <c r="W661" i="1"/>
  <c r="B661" i="1" s="1"/>
  <c r="W662" i="1"/>
  <c r="B662" i="1" s="1"/>
  <c r="W663" i="1"/>
  <c r="B663" i="1" s="1"/>
  <c r="W664" i="1"/>
  <c r="B664" i="1" s="1"/>
  <c r="W665" i="1"/>
  <c r="B665" i="1" s="1"/>
  <c r="W666" i="1"/>
  <c r="B666" i="1" s="1"/>
  <c r="W667" i="1"/>
  <c r="B667" i="1" s="1"/>
  <c r="W668" i="1"/>
  <c r="B668" i="1" s="1"/>
  <c r="W669" i="1"/>
  <c r="B669" i="1" s="1"/>
  <c r="W670" i="1"/>
  <c r="B670" i="1" s="1"/>
  <c r="W671" i="1"/>
  <c r="B671" i="1" s="1"/>
  <c r="W672" i="1"/>
  <c r="B672" i="1" s="1"/>
  <c r="W673" i="1"/>
  <c r="B673" i="1" s="1"/>
  <c r="W674" i="1"/>
  <c r="B674" i="1" s="1"/>
  <c r="W675" i="1"/>
  <c r="W676" i="1"/>
  <c r="B676" i="1" s="1"/>
  <c r="W677" i="1"/>
  <c r="B677" i="1" s="1"/>
  <c r="W678" i="1"/>
  <c r="B678" i="1" s="1"/>
  <c r="W679" i="1"/>
  <c r="B679" i="1" s="1"/>
  <c r="W680" i="1"/>
  <c r="B680" i="1" s="1"/>
  <c r="W681" i="1"/>
  <c r="B681" i="1" s="1"/>
  <c r="W682" i="1"/>
  <c r="B682" i="1" s="1"/>
  <c r="W683" i="1"/>
  <c r="B683" i="1" s="1"/>
  <c r="W684" i="1"/>
  <c r="B684" i="1" s="1"/>
  <c r="W685" i="1"/>
  <c r="B685" i="1" s="1"/>
  <c r="W686" i="1"/>
  <c r="B686" i="1" s="1"/>
  <c r="W687" i="1"/>
  <c r="B687" i="1" s="1"/>
  <c r="W688" i="1"/>
  <c r="B688" i="1" s="1"/>
  <c r="W689" i="1"/>
  <c r="B689" i="1" s="1"/>
  <c r="W690" i="1"/>
  <c r="B690" i="1" s="1"/>
  <c r="W691" i="1"/>
  <c r="B691" i="1" s="1"/>
  <c r="W692" i="1"/>
  <c r="B692" i="1" s="1"/>
  <c r="W693" i="1"/>
  <c r="B693" i="1" s="1"/>
  <c r="W694" i="1"/>
  <c r="B694" i="1" s="1"/>
  <c r="W695" i="1"/>
  <c r="B695" i="1" s="1"/>
  <c r="W696" i="1"/>
  <c r="B696" i="1" s="1"/>
  <c r="W697" i="1"/>
  <c r="B697" i="1" s="1"/>
  <c r="W698" i="1"/>
  <c r="B698" i="1" s="1"/>
  <c r="W699" i="1"/>
  <c r="B699" i="1" s="1"/>
  <c r="W700" i="1"/>
  <c r="B700" i="1" s="1"/>
  <c r="W701" i="1"/>
  <c r="B701" i="1" s="1"/>
  <c r="W702" i="1"/>
  <c r="B702" i="1" s="1"/>
  <c r="W703" i="1"/>
  <c r="B703" i="1" s="1"/>
  <c r="W704" i="1"/>
  <c r="B704" i="1" s="1"/>
  <c r="W705" i="1"/>
  <c r="B705" i="1" s="1"/>
  <c r="W706" i="1"/>
  <c r="B706" i="1" s="1"/>
  <c r="W707" i="1"/>
  <c r="W708" i="1"/>
  <c r="B708" i="1" s="1"/>
  <c r="W709" i="1"/>
  <c r="B709" i="1" s="1"/>
  <c r="W710" i="1"/>
  <c r="B710" i="1" s="1"/>
  <c r="W711" i="1"/>
  <c r="B711" i="1" s="1"/>
  <c r="W712" i="1"/>
  <c r="B712" i="1" s="1"/>
  <c r="W713" i="1"/>
  <c r="B713" i="1" s="1"/>
  <c r="W714" i="1"/>
  <c r="B714" i="1" s="1"/>
  <c r="W715" i="1"/>
  <c r="B715" i="1" s="1"/>
  <c r="W716" i="1"/>
  <c r="B716" i="1" s="1"/>
  <c r="W717" i="1"/>
  <c r="B717" i="1" s="1"/>
  <c r="W718" i="1"/>
  <c r="B718" i="1" s="1"/>
  <c r="W719" i="1"/>
  <c r="B719" i="1" s="1"/>
  <c r="W720" i="1"/>
  <c r="B720" i="1" s="1"/>
  <c r="W721" i="1"/>
  <c r="B721" i="1" s="1"/>
  <c r="W722" i="1"/>
  <c r="B722" i="1" s="1"/>
  <c r="W723" i="1"/>
  <c r="B723" i="1" s="1"/>
  <c r="W724" i="1"/>
  <c r="B724" i="1" s="1"/>
  <c r="W725" i="1"/>
  <c r="B725" i="1" s="1"/>
  <c r="W726" i="1"/>
  <c r="B726" i="1" s="1"/>
  <c r="W727" i="1"/>
  <c r="B727" i="1" s="1"/>
  <c r="W728" i="1"/>
  <c r="B728" i="1" s="1"/>
  <c r="W729" i="1"/>
  <c r="B729" i="1" s="1"/>
  <c r="W730" i="1"/>
  <c r="B730" i="1" s="1"/>
  <c r="W731" i="1"/>
  <c r="B731" i="1" s="1"/>
  <c r="W732" i="1"/>
  <c r="B732" i="1" s="1"/>
  <c r="W733" i="1"/>
  <c r="B733" i="1" s="1"/>
  <c r="W734" i="1"/>
  <c r="B734" i="1" s="1"/>
  <c r="W735" i="1"/>
  <c r="B735" i="1" s="1"/>
  <c r="W736" i="1"/>
  <c r="B736" i="1" s="1"/>
  <c r="W737" i="1"/>
  <c r="B737" i="1" s="1"/>
  <c r="W738" i="1"/>
  <c r="W739" i="1"/>
  <c r="B739" i="1" s="1"/>
  <c r="W740" i="1"/>
  <c r="B740" i="1" s="1"/>
  <c r="W741" i="1"/>
  <c r="B741" i="1" s="1"/>
  <c r="W742" i="1"/>
  <c r="B742" i="1" s="1"/>
  <c r="W743" i="1"/>
  <c r="B743" i="1" s="1"/>
  <c r="W744" i="1"/>
  <c r="B744" i="1" s="1"/>
  <c r="W745" i="1"/>
  <c r="B745" i="1" s="1"/>
  <c r="W746" i="1"/>
  <c r="B746" i="1" s="1"/>
  <c r="W747" i="1"/>
  <c r="B747" i="1" s="1"/>
  <c r="W748" i="1"/>
  <c r="B748" i="1" s="1"/>
  <c r="W749" i="1"/>
  <c r="B749" i="1" s="1"/>
  <c r="W750" i="1"/>
  <c r="B750" i="1" s="1"/>
  <c r="W751" i="1"/>
  <c r="B751" i="1" s="1"/>
  <c r="W752" i="1"/>
  <c r="B752" i="1" s="1"/>
  <c r="W753" i="1"/>
  <c r="B753" i="1" s="1"/>
  <c r="W754" i="1"/>
  <c r="B754" i="1" s="1"/>
  <c r="W755" i="1"/>
  <c r="B755" i="1" s="1"/>
  <c r="W756" i="1"/>
  <c r="B756" i="1" s="1"/>
  <c r="W757" i="1"/>
  <c r="B757" i="1" s="1"/>
  <c r="W758" i="1"/>
  <c r="B758" i="1" s="1"/>
  <c r="W759" i="1"/>
  <c r="B759" i="1" s="1"/>
  <c r="W760" i="1"/>
  <c r="B760" i="1" s="1"/>
  <c r="W761" i="1"/>
  <c r="B761" i="1" s="1"/>
  <c r="W762" i="1"/>
  <c r="B762" i="1" s="1"/>
  <c r="W763" i="1"/>
  <c r="W764" i="1"/>
  <c r="B764" i="1" s="1"/>
  <c r="W765" i="1"/>
  <c r="B765" i="1" s="1"/>
  <c r="W766" i="1"/>
  <c r="B766" i="1" s="1"/>
  <c r="W767" i="1"/>
  <c r="B767" i="1" s="1"/>
  <c r="W768" i="1"/>
  <c r="B768" i="1" s="1"/>
  <c r="W769" i="1"/>
  <c r="B769" i="1" s="1"/>
  <c r="W770" i="1"/>
  <c r="B770" i="1" s="1"/>
  <c r="W771" i="1"/>
  <c r="B771" i="1" s="1"/>
  <c r="W772" i="1"/>
  <c r="B772" i="1" s="1"/>
  <c r="W773" i="1"/>
  <c r="B773" i="1" s="1"/>
  <c r="W774" i="1"/>
  <c r="B774" i="1" s="1"/>
  <c r="W775" i="1"/>
  <c r="B775" i="1" s="1"/>
  <c r="W776" i="1"/>
  <c r="B776" i="1" s="1"/>
  <c r="W777" i="1"/>
  <c r="B777" i="1" s="1"/>
  <c r="W778" i="1"/>
  <c r="B778" i="1" s="1"/>
  <c r="W779" i="1"/>
  <c r="B779" i="1" s="1"/>
  <c r="W780" i="1"/>
  <c r="B780" i="1" s="1"/>
  <c r="W781" i="1"/>
  <c r="B781" i="1" s="1"/>
  <c r="W782" i="1"/>
  <c r="B782" i="1" s="1"/>
  <c r="W783" i="1"/>
  <c r="B783" i="1" s="1"/>
  <c r="W784" i="1"/>
  <c r="B784" i="1" s="1"/>
  <c r="W785" i="1"/>
  <c r="B785" i="1" s="1"/>
  <c r="W786" i="1"/>
  <c r="B786" i="1" s="1"/>
  <c r="W787" i="1"/>
  <c r="B787" i="1" s="1"/>
  <c r="W788" i="1"/>
  <c r="B788" i="1" s="1"/>
  <c r="W789" i="1"/>
  <c r="B789" i="1" s="1"/>
  <c r="W790" i="1"/>
  <c r="B790" i="1" s="1"/>
  <c r="W791" i="1"/>
  <c r="B791" i="1" s="1"/>
  <c r="W792" i="1"/>
  <c r="B792" i="1" s="1"/>
  <c r="W793" i="1"/>
  <c r="B793" i="1" s="1"/>
  <c r="W794" i="1"/>
  <c r="B794" i="1" s="1"/>
  <c r="W795" i="1"/>
  <c r="B795" i="1" s="1"/>
  <c r="W796" i="1"/>
  <c r="B796" i="1" s="1"/>
  <c r="W797" i="1"/>
  <c r="B797" i="1" s="1"/>
  <c r="W798" i="1"/>
  <c r="B798" i="1" s="1"/>
  <c r="W799" i="1"/>
  <c r="B799" i="1" s="1"/>
  <c r="W800" i="1"/>
  <c r="B800" i="1" s="1"/>
  <c r="W801" i="1"/>
  <c r="B801" i="1" s="1"/>
  <c r="W802" i="1"/>
  <c r="B802" i="1" s="1"/>
  <c r="W803" i="1"/>
  <c r="W804" i="1"/>
  <c r="B804" i="1" s="1"/>
  <c r="W805" i="1"/>
  <c r="B805" i="1" s="1"/>
  <c r="W806" i="1"/>
  <c r="B806" i="1" s="1"/>
  <c r="W807" i="1"/>
  <c r="B807" i="1" s="1"/>
  <c r="W808" i="1"/>
  <c r="B808" i="1" s="1"/>
  <c r="W809" i="1"/>
  <c r="B809" i="1" s="1"/>
  <c r="W810" i="1"/>
  <c r="B810" i="1" s="1"/>
  <c r="W811" i="1"/>
  <c r="B811" i="1" s="1"/>
  <c r="W812" i="1"/>
  <c r="B812" i="1" s="1"/>
  <c r="W813" i="1"/>
  <c r="B813" i="1" s="1"/>
  <c r="W814" i="1"/>
  <c r="B814" i="1" s="1"/>
  <c r="W815" i="1"/>
  <c r="B815" i="1" s="1"/>
  <c r="W816" i="1"/>
  <c r="B816" i="1" s="1"/>
  <c r="W817" i="1"/>
  <c r="B817" i="1" s="1"/>
  <c r="W818" i="1"/>
  <c r="B818" i="1" s="1"/>
  <c r="W819" i="1"/>
  <c r="B819" i="1" s="1"/>
  <c r="W820" i="1"/>
  <c r="B820" i="1" s="1"/>
  <c r="W821" i="1"/>
  <c r="B821" i="1" s="1"/>
  <c r="W822" i="1"/>
  <c r="B822" i="1" s="1"/>
  <c r="W823" i="1"/>
  <c r="B823" i="1" s="1"/>
  <c r="W824" i="1"/>
  <c r="B824" i="1" s="1"/>
  <c r="W825" i="1"/>
  <c r="B825" i="1" s="1"/>
  <c r="W826" i="1"/>
  <c r="B826" i="1" s="1"/>
  <c r="W827" i="1"/>
  <c r="W828" i="1"/>
  <c r="B828" i="1" s="1"/>
  <c r="W829" i="1"/>
  <c r="B829" i="1" s="1"/>
  <c r="W830" i="1"/>
  <c r="B830" i="1" s="1"/>
  <c r="W831" i="1"/>
  <c r="B831" i="1" s="1"/>
  <c r="W832" i="1"/>
  <c r="B832" i="1" s="1"/>
  <c r="W833" i="1"/>
  <c r="B833" i="1" s="1"/>
  <c r="W834" i="1"/>
  <c r="B834" i="1" s="1"/>
  <c r="W835" i="1"/>
  <c r="B835" i="1" s="1"/>
  <c r="W836" i="1"/>
  <c r="B836" i="1" s="1"/>
  <c r="W837" i="1"/>
  <c r="B837" i="1" s="1"/>
  <c r="W838" i="1"/>
  <c r="B838" i="1" s="1"/>
  <c r="W839" i="1"/>
  <c r="B839" i="1" s="1"/>
  <c r="W840" i="1"/>
  <c r="B840" i="1" s="1"/>
  <c r="W841" i="1"/>
  <c r="B841" i="1" s="1"/>
  <c r="W842" i="1"/>
  <c r="B842" i="1" s="1"/>
  <c r="W843" i="1"/>
  <c r="B843" i="1" s="1"/>
  <c r="W844" i="1"/>
  <c r="B844" i="1" s="1"/>
  <c r="W845" i="1"/>
  <c r="B845" i="1" s="1"/>
  <c r="W846" i="1"/>
  <c r="B846" i="1" s="1"/>
  <c r="W847" i="1"/>
  <c r="B847" i="1" s="1"/>
  <c r="W848" i="1"/>
  <c r="B848" i="1" s="1"/>
  <c r="W849" i="1"/>
  <c r="B849" i="1" s="1"/>
  <c r="W850" i="1"/>
  <c r="B850" i="1" s="1"/>
  <c r="W851" i="1"/>
  <c r="B851" i="1" s="1"/>
  <c r="W852" i="1"/>
  <c r="B852" i="1" s="1"/>
  <c r="W853" i="1"/>
  <c r="B853" i="1" s="1"/>
  <c r="W854" i="1"/>
  <c r="B854" i="1" s="1"/>
  <c r="W855" i="1"/>
  <c r="B855" i="1" s="1"/>
  <c r="W856" i="1"/>
  <c r="B856" i="1" s="1"/>
  <c r="W857" i="1"/>
  <c r="B857" i="1" s="1"/>
  <c r="W858" i="1"/>
  <c r="W859" i="1"/>
  <c r="B859" i="1" s="1"/>
  <c r="W860" i="1"/>
  <c r="B860" i="1" s="1"/>
  <c r="W861" i="1"/>
  <c r="B861" i="1" s="1"/>
  <c r="W862" i="1"/>
  <c r="B862" i="1" s="1"/>
  <c r="W863" i="1"/>
  <c r="B863" i="1" s="1"/>
  <c r="W864" i="1"/>
  <c r="B864" i="1" s="1"/>
  <c r="W865" i="1"/>
  <c r="B865" i="1" s="1"/>
  <c r="W866" i="1"/>
  <c r="B866" i="1" s="1"/>
  <c r="W867" i="1"/>
  <c r="B867" i="1" s="1"/>
  <c r="W868" i="1"/>
  <c r="B868" i="1" s="1"/>
  <c r="W869" i="1"/>
  <c r="B869" i="1" s="1"/>
  <c r="W870" i="1"/>
  <c r="B870" i="1" s="1"/>
  <c r="W871" i="1"/>
  <c r="B871" i="1" s="1"/>
  <c r="W872" i="1"/>
  <c r="B872" i="1" s="1"/>
  <c r="W873" i="1"/>
  <c r="B873" i="1" s="1"/>
  <c r="W874" i="1"/>
  <c r="B874" i="1" s="1"/>
  <c r="W875" i="1"/>
  <c r="B875" i="1" s="1"/>
  <c r="W876" i="1"/>
  <c r="B876" i="1" s="1"/>
  <c r="W877" i="1"/>
  <c r="B877" i="1" s="1"/>
  <c r="W878" i="1"/>
  <c r="B878" i="1" s="1"/>
  <c r="W879" i="1"/>
  <c r="B879" i="1" s="1"/>
  <c r="W880" i="1"/>
  <c r="B880" i="1" s="1"/>
  <c r="W881" i="1"/>
  <c r="B881" i="1" s="1"/>
  <c r="W882" i="1"/>
  <c r="B882" i="1" s="1"/>
  <c r="W883" i="1"/>
  <c r="B883" i="1" s="1"/>
  <c r="W884" i="1"/>
  <c r="B884" i="1" s="1"/>
  <c r="W885" i="1"/>
  <c r="W886" i="1"/>
  <c r="B886" i="1" s="1"/>
  <c r="W887" i="1"/>
  <c r="B887" i="1" s="1"/>
  <c r="W888" i="1"/>
  <c r="B888" i="1" s="1"/>
  <c r="W889" i="1"/>
  <c r="B889" i="1" s="1"/>
  <c r="W890" i="1"/>
  <c r="B890" i="1" s="1"/>
  <c r="W891" i="1"/>
  <c r="B891" i="1" s="1"/>
  <c r="W892" i="1"/>
  <c r="B892" i="1" s="1"/>
  <c r="W893" i="1"/>
  <c r="B893" i="1" s="1"/>
  <c r="W894" i="1"/>
  <c r="B894" i="1" s="1"/>
  <c r="W895" i="1"/>
  <c r="B895" i="1" s="1"/>
  <c r="W896" i="1"/>
  <c r="B896" i="1" s="1"/>
  <c r="W897" i="1"/>
  <c r="B897" i="1" s="1"/>
  <c r="W898" i="1"/>
  <c r="B898" i="1" s="1"/>
  <c r="W899" i="1"/>
  <c r="B899" i="1" s="1"/>
  <c r="W900" i="1"/>
  <c r="B900" i="1" s="1"/>
  <c r="W901" i="1"/>
  <c r="B901" i="1" s="1"/>
  <c r="W902" i="1"/>
  <c r="B902" i="1" s="1"/>
  <c r="W903" i="1"/>
  <c r="B903" i="1" s="1"/>
  <c r="W904" i="1"/>
  <c r="B904" i="1" s="1"/>
  <c r="W905" i="1"/>
  <c r="B905" i="1" s="1"/>
  <c r="W906" i="1"/>
  <c r="B906" i="1" s="1"/>
  <c r="W907" i="1"/>
  <c r="B907" i="1" s="1"/>
  <c r="W908" i="1"/>
  <c r="B908" i="1" s="1"/>
  <c r="W909" i="1"/>
  <c r="B909" i="1" s="1"/>
  <c r="W910" i="1"/>
  <c r="B910" i="1" s="1"/>
  <c r="W911" i="1"/>
  <c r="B911" i="1" s="1"/>
  <c r="W912" i="1"/>
  <c r="B912" i="1" s="1"/>
  <c r="W913" i="1"/>
  <c r="B913" i="1" s="1"/>
  <c r="W914" i="1"/>
  <c r="B914" i="1" s="1"/>
  <c r="W915" i="1"/>
  <c r="W916" i="1"/>
  <c r="B916" i="1" s="1"/>
  <c r="W917" i="1"/>
  <c r="B917" i="1" s="1"/>
  <c r="W918" i="1"/>
  <c r="B918" i="1" s="1"/>
  <c r="W919" i="1"/>
  <c r="B919" i="1" s="1"/>
  <c r="W920" i="1"/>
  <c r="B920" i="1" s="1"/>
  <c r="W921" i="1"/>
  <c r="B921" i="1" s="1"/>
  <c r="W922" i="1"/>
  <c r="B922" i="1" s="1"/>
  <c r="W923" i="1"/>
  <c r="B923" i="1" s="1"/>
  <c r="W924" i="1"/>
  <c r="B924" i="1" s="1"/>
  <c r="W925" i="1"/>
  <c r="B925" i="1" s="1"/>
  <c r="W926" i="1"/>
  <c r="B926" i="1" s="1"/>
  <c r="W927" i="1"/>
  <c r="B927" i="1" s="1"/>
  <c r="W928" i="1"/>
  <c r="B928" i="1" s="1"/>
  <c r="W929" i="1"/>
  <c r="B929" i="1" s="1"/>
  <c r="W930" i="1"/>
  <c r="B930" i="1" s="1"/>
  <c r="W931" i="1"/>
  <c r="B931" i="1" s="1"/>
  <c r="W932" i="1"/>
  <c r="B932" i="1" s="1"/>
  <c r="W933" i="1"/>
  <c r="B933" i="1" s="1"/>
  <c r="W934" i="1"/>
  <c r="B934" i="1" s="1"/>
  <c r="W935" i="1"/>
  <c r="B935" i="1" s="1"/>
  <c r="W936" i="1"/>
  <c r="B936" i="1" s="1"/>
  <c r="W937" i="1"/>
  <c r="B937" i="1" s="1"/>
  <c r="W938" i="1"/>
  <c r="B938" i="1" s="1"/>
  <c r="W939" i="1"/>
  <c r="B939" i="1" s="1"/>
  <c r="W940" i="1"/>
  <c r="B940" i="1" s="1"/>
  <c r="W941" i="1"/>
  <c r="W942" i="1"/>
  <c r="B942" i="1" s="1"/>
  <c r="W943" i="1"/>
  <c r="B943" i="1" s="1"/>
  <c r="W944" i="1"/>
  <c r="B944" i="1" s="1"/>
  <c r="W945" i="1"/>
  <c r="B945" i="1" s="1"/>
  <c r="W946" i="1"/>
  <c r="B946" i="1" s="1"/>
  <c r="W947" i="1"/>
  <c r="B947" i="1" s="1"/>
  <c r="W948" i="1"/>
  <c r="B948" i="1" s="1"/>
  <c r="W949" i="1"/>
  <c r="B949" i="1" s="1"/>
  <c r="W950" i="1"/>
  <c r="B950" i="1" s="1"/>
  <c r="W951" i="1"/>
  <c r="B951" i="1" s="1"/>
  <c r="W952" i="1"/>
  <c r="B952" i="1" s="1"/>
  <c r="W953" i="1"/>
  <c r="B953" i="1" s="1"/>
  <c r="W954" i="1"/>
  <c r="B954" i="1" s="1"/>
  <c r="W955" i="1"/>
  <c r="B955" i="1" s="1"/>
  <c r="W956" i="1"/>
  <c r="B956" i="1" s="1"/>
  <c r="W957" i="1"/>
  <c r="B957" i="1" s="1"/>
  <c r="W958" i="1"/>
  <c r="B958" i="1" s="1"/>
  <c r="W959" i="1"/>
  <c r="B959" i="1" s="1"/>
  <c r="W960" i="1"/>
  <c r="B960" i="1" s="1"/>
  <c r="W961" i="1"/>
  <c r="B961" i="1" s="1"/>
  <c r="W962" i="1"/>
  <c r="B962" i="1" s="1"/>
  <c r="W963" i="1"/>
  <c r="B963" i="1" s="1"/>
  <c r="W964" i="1"/>
  <c r="B964" i="1" s="1"/>
  <c r="W965" i="1"/>
  <c r="B965" i="1" s="1"/>
  <c r="W966" i="1"/>
  <c r="B966" i="1" s="1"/>
  <c r="W967" i="1"/>
  <c r="B967" i="1" s="1"/>
  <c r="W968" i="1"/>
  <c r="B968" i="1" s="1"/>
  <c r="W969" i="1"/>
  <c r="B969" i="1" s="1"/>
  <c r="W970" i="1"/>
  <c r="B970" i="1" s="1"/>
  <c r="W971" i="1"/>
  <c r="B971" i="1" s="1"/>
  <c r="W972" i="1"/>
  <c r="B972" i="1" s="1"/>
  <c r="W973" i="1"/>
  <c r="W974" i="1"/>
  <c r="B974" i="1" s="1"/>
  <c r="W975" i="1"/>
  <c r="B975" i="1" s="1"/>
  <c r="W976" i="1"/>
  <c r="B976" i="1" s="1"/>
  <c r="W977" i="1"/>
  <c r="B977" i="1" s="1"/>
  <c r="W978" i="1"/>
  <c r="B978" i="1" s="1"/>
  <c r="W979" i="1"/>
  <c r="B979" i="1" s="1"/>
  <c r="W980" i="1"/>
  <c r="B980" i="1" s="1"/>
  <c r="W981" i="1"/>
  <c r="B981" i="1" s="1"/>
  <c r="W982" i="1"/>
  <c r="B982" i="1" s="1"/>
  <c r="W983" i="1"/>
  <c r="B983" i="1" s="1"/>
  <c r="W984" i="1"/>
  <c r="B984" i="1" s="1"/>
  <c r="W985" i="1"/>
  <c r="B985" i="1" s="1"/>
  <c r="W986" i="1"/>
  <c r="B986" i="1" s="1"/>
  <c r="W987" i="1"/>
  <c r="B987" i="1" s="1"/>
  <c r="W988" i="1"/>
  <c r="B988" i="1" s="1"/>
  <c r="W989" i="1"/>
  <c r="B989" i="1" s="1"/>
  <c r="W990" i="1"/>
  <c r="B990" i="1" s="1"/>
  <c r="W991" i="1"/>
  <c r="B991" i="1" s="1"/>
  <c r="W992" i="1"/>
  <c r="B992" i="1" s="1"/>
  <c r="W993" i="1"/>
  <c r="B993" i="1" s="1"/>
  <c r="W994" i="1"/>
  <c r="B994" i="1" s="1"/>
  <c r="W995" i="1"/>
  <c r="B995" i="1" s="1"/>
  <c r="W996" i="1"/>
  <c r="B996" i="1" s="1"/>
  <c r="W997" i="1"/>
  <c r="B997" i="1" s="1"/>
  <c r="W998" i="1"/>
  <c r="B998" i="1" s="1"/>
  <c r="W999" i="1"/>
  <c r="B999" i="1" s="1"/>
  <c r="W3" i="1"/>
  <c r="B3" i="1" s="1"/>
  <c r="Y3" i="1" s="1"/>
  <c r="D3" i="1" s="1"/>
  <c r="W2" i="1"/>
  <c r="B2" i="1" s="1"/>
  <c r="Z2" i="1" l="1"/>
  <c r="E2" i="1" s="1"/>
  <c r="Y2" i="1"/>
  <c r="D2" i="1" s="1"/>
  <c r="Z3" i="1"/>
  <c r="E3" i="1" s="1"/>
  <c r="Y4" i="1"/>
  <c r="D4" i="1" s="1"/>
  <c r="Y5" i="1"/>
  <c r="D5" i="1" s="1"/>
  <c r="Z5" i="1"/>
  <c r="E5" i="1" s="1"/>
  <c r="Y6" i="1"/>
  <c r="D6" i="1" s="1"/>
</calcChain>
</file>

<file path=xl/sharedStrings.xml><?xml version="1.0" encoding="utf-8"?>
<sst xmlns="http://schemas.openxmlformats.org/spreadsheetml/2006/main" count="214" uniqueCount="112">
  <si>
    <t>ID</t>
  </si>
  <si>
    <t>Сроки</t>
  </si>
  <si>
    <t xml:space="preserve">Штрихкод </t>
  </si>
  <si>
    <t>Наименование документа</t>
  </si>
  <si>
    <t xml:space="preserve">Срок хранения </t>
  </si>
  <si>
    <t>Наменование документа</t>
  </si>
  <si>
    <t xml:space="preserve">Отсветсвенный </t>
  </si>
  <si>
    <t>1 год</t>
  </si>
  <si>
    <t>3 года</t>
  </si>
  <si>
    <t>5 лет</t>
  </si>
  <si>
    <t>Паспорт</t>
  </si>
  <si>
    <t>Водительское удостоверение</t>
  </si>
  <si>
    <t>Свидетельство о рождении</t>
  </si>
  <si>
    <t>Диплом об образовании</t>
  </si>
  <si>
    <t>Трудовая книжка</t>
  </si>
  <si>
    <t>Договор аренды</t>
  </si>
  <si>
    <t>Договор купли-продажи</t>
  </si>
  <si>
    <t>Счет-фактура</t>
  </si>
  <si>
    <t>Накладная</t>
  </si>
  <si>
    <t>Акт выполненных работ</t>
  </si>
  <si>
    <t>Акт приема-передачи</t>
  </si>
  <si>
    <t>Доверенность</t>
  </si>
  <si>
    <t>Заявление</t>
  </si>
  <si>
    <t>Резюме</t>
  </si>
  <si>
    <t>Медицинская справка</t>
  </si>
  <si>
    <t>Больничный лист</t>
  </si>
  <si>
    <t>Справка о доходах</t>
  </si>
  <si>
    <t>Налоговая декларация</t>
  </si>
  <si>
    <t>Устав организации</t>
  </si>
  <si>
    <t>Учредительный договор</t>
  </si>
  <si>
    <t>Лицензия</t>
  </si>
  <si>
    <t>Сертификат соответствия</t>
  </si>
  <si>
    <t>Патент</t>
  </si>
  <si>
    <t>Товарный чек</t>
  </si>
  <si>
    <t>Кассовый чек</t>
  </si>
  <si>
    <t>Квитанция об оплате</t>
  </si>
  <si>
    <t>Платежное поручение</t>
  </si>
  <si>
    <t>Банковская выписка</t>
  </si>
  <si>
    <t>Кредитный договор</t>
  </si>
  <si>
    <t>Ипотечный договор</t>
  </si>
  <si>
    <t>Страховой полис</t>
  </si>
  <si>
    <t>Договор подряда</t>
  </si>
  <si>
    <t>Трудовой договор</t>
  </si>
  <si>
    <t>Договор оказания услуг</t>
  </si>
  <si>
    <t>Договор поставки</t>
  </si>
  <si>
    <t>Договор займа</t>
  </si>
  <si>
    <t>Договор дарения</t>
  </si>
  <si>
    <t>Договор мены</t>
  </si>
  <si>
    <t>Договор хранения</t>
  </si>
  <si>
    <t>Договор перевозки</t>
  </si>
  <si>
    <t>Договор страхования</t>
  </si>
  <si>
    <t>Договор франшизы</t>
  </si>
  <si>
    <t>Договор аренды транспорта</t>
  </si>
  <si>
    <t>Договор аренды недвижимости</t>
  </si>
  <si>
    <t>Договор комиссии</t>
  </si>
  <si>
    <t>Договор поручения</t>
  </si>
  <si>
    <t>Договор агентирования</t>
  </si>
  <si>
    <t>Договор лизинга</t>
  </si>
  <si>
    <t>Договор факторинга</t>
  </si>
  <si>
    <t>Договор о совместной деятельности</t>
  </si>
  <si>
    <t>Договор о разделе имущества</t>
  </si>
  <si>
    <t>Договор о расторжении брака</t>
  </si>
  <si>
    <t>Свидетельство о браке</t>
  </si>
  <si>
    <t>Свидетельство о смерти</t>
  </si>
  <si>
    <t>Свидетельство о собственности</t>
  </si>
  <si>
    <t>Кадастровый паспорт</t>
  </si>
  <si>
    <t>Технический паспорт</t>
  </si>
  <si>
    <t>Проектная документация</t>
  </si>
  <si>
    <t>Смета</t>
  </si>
  <si>
    <t>График работ</t>
  </si>
  <si>
    <t>Отчет о прибылях и убытках</t>
  </si>
  <si>
    <t>Балансовый отчет</t>
  </si>
  <si>
    <t>Аудиторское заключение</t>
  </si>
  <si>
    <t>Бухгалтерский баланс</t>
  </si>
  <si>
    <t>Финансовый отчет</t>
  </si>
  <si>
    <t>Бизнес-план</t>
  </si>
  <si>
    <t>Маркетинговый план</t>
  </si>
  <si>
    <t>План продаж</t>
  </si>
  <si>
    <t>План закупок</t>
  </si>
  <si>
    <t>План мероприятий</t>
  </si>
  <si>
    <t>Протокол собрания</t>
  </si>
  <si>
    <t>Протокол разногласий</t>
  </si>
  <si>
    <t>Протокол согласования</t>
  </si>
  <si>
    <t>Решение общего собрания</t>
  </si>
  <si>
    <t>Приказ</t>
  </si>
  <si>
    <t>Распоряжение</t>
  </si>
  <si>
    <t>Положение</t>
  </si>
  <si>
    <t>Регламент</t>
  </si>
  <si>
    <t>Инструкция</t>
  </si>
  <si>
    <t>Должностная инструкция</t>
  </si>
  <si>
    <t>Штатное расписание</t>
  </si>
  <si>
    <t>График отпусков</t>
  </si>
  <si>
    <t>Табель учета рабочего времени</t>
  </si>
  <si>
    <t>Акт инвентаризации</t>
  </si>
  <si>
    <t>Акт списания</t>
  </si>
  <si>
    <t>Акт о несчастном случае</t>
  </si>
  <si>
    <t>Акт проверки</t>
  </si>
  <si>
    <t>Акт обследования</t>
  </si>
  <si>
    <t>Акт передачи ключей</t>
  </si>
  <si>
    <t>Акт передачи документов</t>
  </si>
  <si>
    <t>Акт уничтожения документов</t>
  </si>
  <si>
    <t>Акт о нарушении</t>
  </si>
  <si>
    <t>Акт о недостаче</t>
  </si>
  <si>
    <t>Акт о порче имущества</t>
  </si>
  <si>
    <t>Акт о возврате товара</t>
  </si>
  <si>
    <t>Акт о приемке товара</t>
  </si>
  <si>
    <t>Акт о дефектации</t>
  </si>
  <si>
    <t>Акт о проведении испытаний</t>
  </si>
  <si>
    <t>Акт о вводе в эксплуатацию</t>
  </si>
  <si>
    <t>\\\\\\\\\\\\\\\\\\\\\\\\\\\\\\\</t>
  </si>
  <si>
    <t>Телефон</t>
  </si>
  <si>
    <t>7-79962183803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</si>
</sst>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8"/>
      <name val="Calibri"/>
      <family val="2"/>
      <scheme val="minor"/>
    </font>
    <font>
      <sz val="12"/>
      <name val="Segoe UI"/>
      <family val="2"/>
      <charset val="20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333333"/>
      <name val="Times New Roman"/>
      <family val="1"/>
      <charset val="204"/>
    </font>
    <font>
      <b/>
      <sz val="11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3" fillId="0" borderId="0" xfId="0" applyFont="1" applyAlignment="1">
      <alignment horizontal="left" vertical="center" wrapText="1" indent="1"/>
    </xf>
    <xf numFmtId="0" fontId="4" fillId="0" borderId="0" xfId="0" applyFont="1"/>
    <xf numFmtId="0" fontId="5" fillId="3" borderId="0" xfId="0" applyFont="1" applyFill="1"/>
    <xf numFmtId="0" fontId="9" fillId="4" borderId="0" xfId="0" applyFont="1" applyFill="1" applyAlignment="1">
      <alignment horizontal="center" vertical="center"/>
    </xf>
    <xf numFmtId="0" fontId="9" fillId="2" borderId="0" xfId="0" applyFont="1" applyFill="1" applyAlignment="1" applyProtection="1">
      <alignment horizontal="center" vertical="center"/>
      <protection locked="0" hidden="1"/>
    </xf>
    <xf numFmtId="0" fontId="9" fillId="2" borderId="0" xfId="0" applyFont="1" applyFill="1" applyAlignment="1">
      <alignment horizontal="center" vertical="center"/>
    </xf>
    <xf numFmtId="0" fontId="9" fillId="4" borderId="0" xfId="0" applyFont="1" applyFill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>
      <alignment horizontal="center" vertical="center"/>
    </xf>
    <xf numFmtId="0" fontId="7" fillId="3" borderId="0" xfId="1" applyFont="1" applyFill="1" applyAlignment="1">
      <alignment horizontal="center" vertical="center"/>
    </xf>
    <xf numFmtId="0" fontId="8" fillId="3" borderId="0" xfId="0" applyFont="1" applyFill="1" applyAlignment="1" applyProtection="1">
      <alignment horizontal="center" vertical="center"/>
      <protection locked="0" hidden="1"/>
    </xf>
    <xf numFmtId="0" fontId="7" fillId="3" borderId="0" xfId="1" applyFont="1" applyFill="1" applyAlignment="1" applyProtection="1">
      <alignment horizontal="center" vertical="center"/>
      <protection locked="0" hidden="1"/>
    </xf>
    <xf numFmtId="0" fontId="8" fillId="3" borderId="0" xfId="0" applyFont="1" applyFill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fill>
        <patternFill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</dxf>
    <dxf>
      <numFmt numFmtId="164" formatCode=";;;"/>
    </dxf>
    <dxf>
      <numFmt numFmtId="164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15C1DC-0780-4341-9CC0-F624CAB005E5}" name="Проливка" displayName="Проливка" ref="A1:F1048576" totalsRowShown="0" headerRowDxfId="1" dataDxfId="0">
  <autoFilter ref="A1:F1048576" xr:uid="{1915C1DC-0780-4341-9CC0-F624CAB005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A043971-267A-4B56-84D3-2CF5D4E26A0E}" name="Штрихкод " dataDxfId="7"/>
    <tableColumn id="2" xr3:uid="{3BBF02B1-6D95-426A-B736-12F65901BE82}" name="ID" dataDxfId="6"/>
    <tableColumn id="3" xr3:uid="{9510687E-FFF3-4F13-B291-5A2EA935F939}" name="Телефон" dataDxfId="5">
      <calculatedColumnFormula>X2</calculatedColumnFormula>
    </tableColumn>
    <tableColumn id="4" xr3:uid="{9F8808C2-DDE6-410F-911F-C546B2B3F66B}" name="Наменование документа" dataDxfId="4">
      <calculatedColumnFormula>VLOOKUP(Проливка[[#This Row],[ID]],'Срок хранения'!A2:B100,2,0)</calculatedColumnFormula>
    </tableColumn>
    <tableColumn id="5" xr3:uid="{F1B39B07-94AA-4CE5-BF10-834B04AF8DE2}" name="Сроки" dataDxfId="3"/>
    <tableColumn id="6" xr3:uid="{24432765-89E0-4D8F-AAE5-53EB3D6D58E1}" name="Отсветсвенный 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4842AD-A86B-483D-A65F-F1171B030312}" name="Сроки" displayName="Сроки" ref="A1:C1048576" totalsRowShown="0" headerRowDxfId="9">
  <autoFilter ref="A1:C1048576" xr:uid="{494842AD-A86B-483D-A65F-F1171B030312}">
    <filterColumn colId="0" hiddenButton="1"/>
    <filterColumn colId="1" hiddenButton="1"/>
    <filterColumn colId="2" hiddenButton="1"/>
  </autoFilter>
  <tableColumns count="3">
    <tableColumn id="1" xr3:uid="{04B5EE7D-E3F6-410B-9FF6-CB413B5CDD55}" name="ID"/>
    <tableColumn id="2" xr3:uid="{1E3A2A56-4C54-4F63-B6B7-E044CDCACE14}" name="Наименование документа" dataDxfId="8"/>
    <tableColumn id="3" xr3:uid="{F0D8D0C7-BCCD-478C-843F-186BDF3EF6CA}" name="Срок хранения 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\" TargetMode="External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\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1000"/>
  <sheetViews>
    <sheetView tabSelected="1" zoomScale="115" zoomScaleNormal="115"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17" style="6" bestFit="1" customWidth="1"/>
    <col min="2" max="2" width="9.28515625" style="11" bestFit="1" customWidth="1"/>
    <col min="3" max="3" width="16.28515625" style="11" bestFit="1" customWidth="1"/>
    <col min="4" max="4" width="31.85546875" style="11" bestFit="1" customWidth="1"/>
    <col min="5" max="5" width="9.7109375" style="11" bestFit="1" customWidth="1"/>
    <col min="6" max="6" width="19.140625" style="13" customWidth="1"/>
    <col min="18" max="23" width="0" hidden="1" customWidth="1"/>
    <col min="24" max="24" width="12.5703125" hidden="1" customWidth="1"/>
    <col min="25" max="25" width="23.85546875" hidden="1" customWidth="1"/>
    <col min="26" max="44" width="0" hidden="1" customWidth="1"/>
  </cols>
  <sheetData>
    <row r="1" spans="1:26" s="2" customFormat="1" x14ac:dyDescent="0.25">
      <c r="A1" s="6" t="s">
        <v>2</v>
      </c>
      <c r="B1" s="7" t="s">
        <v>0</v>
      </c>
      <c r="C1" s="7" t="s">
        <v>110</v>
      </c>
      <c r="D1" s="7" t="s">
        <v>5</v>
      </c>
      <c r="E1" s="7" t="s">
        <v>1</v>
      </c>
      <c r="F1" s="8" t="s">
        <v>6</v>
      </c>
    </row>
    <row r="2" spans="1:26" x14ac:dyDescent="0.25">
      <c r="A2" s="9" t="s">
        <v>111</v>
      </c>
      <c r="B2" s="12" t="str">
        <f>W2</f>
        <v>7</v>
      </c>
      <c r="C2" s="10" t="str">
        <f t="shared" ref="C2:C65" si="0">X2</f>
        <v>79962183803</v>
      </c>
      <c r="D2" s="10" t="str">
        <f>Y2</f>
        <v>Договор купли-продажи</v>
      </c>
      <c r="E2" s="10" t="str">
        <f>Z2</f>
        <v>1 год</v>
      </c>
      <c r="W2" t="str">
        <f>IFERROR(MID(Проливка[[#This Row],[Штрихкод ]],1,FIND("-",Проливка[[#This Row],[Штрихкод ]],1)-1)," ")</f>
        <v>7</v>
      </c>
      <c r="X2" t="str">
        <f>IFERROR(RIGHT(Проливка[[#This Row],[Штрихкод ]],LEN(Проливка[[#This Row],[Штрихкод ]])-SEARCH("-",Проливка[[#This Row],[Штрихкод ]],1))," ")</f>
        <v>79962183803</v>
      </c>
      <c r="Y2" t="str">
        <f>IFERROR(VLOOKUP(Проливка[[#This Row],[ID]]*1,'Срок хранения'!A2:B100,2,0),0)</f>
        <v>Договор купли-продажи</v>
      </c>
      <c r="Z2" t="str">
        <f>IFERROR(VLOOKUP(Проливка[[#This Row],[ID]]*1,'Срок хранения'!A2:C100,3,0),0)</f>
        <v>1 год</v>
      </c>
    </row>
    <row r="3" spans="1:26" x14ac:dyDescent="0.25">
      <c r="A3" s="9"/>
      <c r="B3" s="12" t="str">
        <f t="shared" ref="B3:B66" si="1">W3</f>
        <v xml:space="preserve"> </v>
      </c>
      <c r="C3" s="10" t="str">
        <f t="shared" si="0"/>
        <v xml:space="preserve"> </v>
      </c>
      <c r="D3" s="10">
        <f t="shared" ref="D3:D66" si="2">Y3</f>
        <v>0</v>
      </c>
      <c r="E3" s="10">
        <f t="shared" ref="E3:E66" si="3">Z3</f>
        <v>0</v>
      </c>
      <c r="W3" t="str">
        <f>IFERROR(MID(Проливка[[#This Row],[Штрихкод ]],1,FIND("-",Проливка[[#This Row],[Штрихкод ]],1)-1)," ")</f>
        <v xml:space="preserve"> </v>
      </c>
      <c r="X3" t="str">
        <f>IFERROR(RIGHT(Проливка[[#This Row],[Штрихкод ]],LEN(Проливка[[#This Row],[Штрихкод ]])-SEARCH("-",Проливка[[#This Row],[Штрихкод ]],1))," ")</f>
        <v xml:space="preserve"> </v>
      </c>
      <c r="Y3">
        <f>IFERROR(VLOOKUP(Проливка[[#This Row],[ID]]*1,'Срок хранения'!A3:B101,2,0),0)</f>
        <v>0</v>
      </c>
      <c r="Z3">
        <f>IFERROR(VLOOKUP(Проливка[[#This Row],[ID]]*1,'Срок хранения'!A3:C101,3,0),0)</f>
        <v>0</v>
      </c>
    </row>
    <row r="4" spans="1:26" x14ac:dyDescent="0.25">
      <c r="A4" s="9"/>
      <c r="B4" s="12" t="str">
        <f t="shared" si="1"/>
        <v xml:space="preserve"> </v>
      </c>
      <c r="C4" s="10" t="str">
        <f t="shared" si="0"/>
        <v xml:space="preserve"> </v>
      </c>
      <c r="D4" s="10">
        <f t="shared" si="2"/>
        <v>0</v>
      </c>
      <c r="E4" s="10">
        <f t="shared" si="3"/>
        <v>0</v>
      </c>
      <c r="W4" t="str">
        <f>IFERROR(MID(Проливка[[#This Row],[Штрихкод ]],1,FIND("-",Проливка[[#This Row],[Штрихкод ]],1)-1)," ")</f>
        <v xml:space="preserve"> </v>
      </c>
      <c r="X4" t="str">
        <f>IFERROR(RIGHT(Проливка[[#This Row],[Штрихкод ]],LEN(Проливка[[#This Row],[Штрихкод ]])-SEARCH("-",Проливка[[#This Row],[Штрихкод ]],1))," ")</f>
        <v xml:space="preserve"> </v>
      </c>
      <c r="Y4">
        <f>IFERROR(VLOOKUP(Проливка[[#This Row],[ID]]*1,'Срок хранения'!A4:B102,2,0),0)</f>
        <v>0</v>
      </c>
      <c r="Z4">
        <f>IFERROR(VLOOKUP(Проливка[[#This Row],[ID]]*1,'Срок хранения'!A4:C102,3,0),0)</f>
        <v>0</v>
      </c>
    </row>
    <row r="5" spans="1:26" x14ac:dyDescent="0.25">
      <c r="A5" s="9"/>
      <c r="B5" s="12" t="str">
        <f t="shared" si="1"/>
        <v xml:space="preserve"> </v>
      </c>
      <c r="C5" s="10" t="str">
        <f t="shared" si="0"/>
        <v xml:space="preserve"> </v>
      </c>
      <c r="D5" s="10">
        <f t="shared" si="2"/>
        <v>0</v>
      </c>
      <c r="E5" s="10">
        <f t="shared" si="3"/>
        <v>0</v>
      </c>
      <c r="W5" t="str">
        <f>IFERROR(MID(Проливка[[#This Row],[Штрихкод ]],1,FIND("-",Проливка[[#This Row],[Штрихкод ]],1)-1)," ")</f>
        <v xml:space="preserve"> </v>
      </c>
      <c r="X5" t="str">
        <f>IFERROR(RIGHT(Проливка[[#This Row],[Штрихкод ]],LEN(Проливка[[#This Row],[Штрихкод ]])-SEARCH("-",Проливка[[#This Row],[Штрихкод ]],1))," ")</f>
        <v xml:space="preserve"> </v>
      </c>
      <c r="Y5">
        <f>IFERROR(VLOOKUP(Проливка[[#This Row],[ID]]*1,'Срок хранения'!A5:B103,2,0),0)</f>
        <v>0</v>
      </c>
      <c r="Z5">
        <f>IFERROR(VLOOKUP(Проливка[[#This Row],[ID]]*1,'Срок хранения'!A5:C103,3,0),0)</f>
        <v>0</v>
      </c>
    </row>
    <row r="6" spans="1:26" x14ac:dyDescent="0.25">
      <c r="A6" s="9"/>
      <c r="B6" s="12" t="str">
        <f t="shared" si="1"/>
        <v xml:space="preserve"> </v>
      </c>
      <c r="C6" s="10" t="str">
        <f t="shared" si="0"/>
        <v xml:space="preserve"> </v>
      </c>
      <c r="D6" s="10">
        <f t="shared" si="2"/>
        <v>0</v>
      </c>
      <c r="E6" s="10">
        <f t="shared" si="3"/>
        <v>0</v>
      </c>
      <c r="W6" t="str">
        <f>IFERROR(MID(Проливка[[#This Row],[Штрихкод ]],1,FIND("-",Проливка[[#This Row],[Штрихкод ]],1)-1)," ")</f>
        <v xml:space="preserve"> </v>
      </c>
      <c r="X6" t="str">
        <f>IFERROR(RIGHT(Проливка[[#This Row],[Штрихкод ]],LEN(Проливка[[#This Row],[Штрихкод ]])-SEARCH("-",Проливка[[#This Row],[Штрихкод ]],1))," ")</f>
        <v xml:space="preserve"> </v>
      </c>
      <c r="Y6">
        <f>IFERROR(VLOOKUP(Проливка[[#This Row],[ID]]*1,'Срок хранения'!A6:B104,2,0),0)</f>
        <v>0</v>
      </c>
      <c r="Z6">
        <f>IFERROR(VLOOKUP(Проливка[[#This Row],[ID]]*1,'Срок хранения'!A6:C104,3,0),0)</f>
        <v>0</v>
      </c>
    </row>
    <row r="7" spans="1:26" x14ac:dyDescent="0.25">
      <c r="A7" s="9"/>
      <c r="B7" s="12" t="str">
        <f t="shared" si="1"/>
        <v xml:space="preserve"> </v>
      </c>
      <c r="C7" s="10" t="str">
        <f t="shared" si="0"/>
        <v xml:space="preserve"> </v>
      </c>
      <c r="D7" s="10">
        <f t="shared" si="2"/>
        <v>0</v>
      </c>
      <c r="E7" s="10">
        <f t="shared" si="3"/>
        <v>0</v>
      </c>
      <c r="W7" t="str">
        <f>IFERROR(MID(Проливка[[#This Row],[Штрихкод ]],1,FIND("-",Проливка[[#This Row],[Штрихкод ]],1)-1)," ")</f>
        <v xml:space="preserve"> </v>
      </c>
      <c r="X7" t="str">
        <f>IFERROR(RIGHT(Проливка[[#This Row],[Штрихкод ]],LEN(Проливка[[#This Row],[Штрихкод ]])-SEARCH("-",Проливка[[#This Row],[Штрихкод ]],1))," ")</f>
        <v xml:space="preserve"> </v>
      </c>
      <c r="Y7">
        <f>IFERROR(VLOOKUP(Проливка[[#This Row],[ID]]*1,'Срок хранения'!A7:B105,2,0),0)</f>
        <v>0</v>
      </c>
      <c r="Z7">
        <f>IFERROR(VLOOKUP(Проливка[[#This Row],[ID]]*1,'Срок хранения'!A7:C105,3,0),0)</f>
        <v>0</v>
      </c>
    </row>
    <row r="8" spans="1:26" x14ac:dyDescent="0.25">
      <c r="A8" s="9"/>
      <c r="B8" s="12" t="str">
        <f t="shared" si="1"/>
        <v xml:space="preserve"> </v>
      </c>
      <c r="C8" s="10" t="str">
        <f t="shared" si="0"/>
        <v xml:space="preserve"> </v>
      </c>
      <c r="D8" s="10">
        <f t="shared" si="2"/>
        <v>0</v>
      </c>
      <c r="E8" s="10">
        <f t="shared" si="3"/>
        <v>0</v>
      </c>
      <c r="W8" t="str">
        <f>IFERROR(MID(Проливка[[#This Row],[Штрихкод ]],1,FIND("-",Проливка[[#This Row],[Штрихкод ]],1)-1)," ")</f>
        <v xml:space="preserve"> </v>
      </c>
      <c r="X8" t="str">
        <f>IFERROR(RIGHT(Проливка[[#This Row],[Штрихкод ]],LEN(Проливка[[#This Row],[Штрихкод ]])-SEARCH("-",Проливка[[#This Row],[Штрихкод ]],1))," ")</f>
        <v xml:space="preserve"> </v>
      </c>
      <c r="Y8">
        <f>IFERROR(VLOOKUP(Проливка[[#This Row],[ID]]*1,'Срок хранения'!A8:B106,2,0),0)</f>
        <v>0</v>
      </c>
      <c r="Z8">
        <f>IFERROR(VLOOKUP(Проливка[[#This Row],[ID]]*1,'Срок хранения'!A8:C106,3,0),0)</f>
        <v>0</v>
      </c>
    </row>
    <row r="9" spans="1:26" x14ac:dyDescent="0.25">
      <c r="A9" s="9"/>
      <c r="B9" s="12" t="str">
        <f t="shared" si="1"/>
        <v xml:space="preserve"> </v>
      </c>
      <c r="C9" s="10" t="str">
        <f t="shared" si="0"/>
        <v xml:space="preserve"> </v>
      </c>
      <c r="D9" s="10">
        <f t="shared" si="2"/>
        <v>0</v>
      </c>
      <c r="E9" s="10">
        <f t="shared" si="3"/>
        <v>0</v>
      </c>
      <c r="W9" t="str">
        <f>IFERROR(MID(Проливка[[#This Row],[Штрихкод ]],1,FIND("-",Проливка[[#This Row],[Штрихкод ]],1)-1)," ")</f>
        <v xml:space="preserve"> </v>
      </c>
      <c r="X9" t="str">
        <f>IFERROR(RIGHT(Проливка[[#This Row],[Штрихкод ]],LEN(Проливка[[#This Row],[Штрихкод ]])-SEARCH("-",Проливка[[#This Row],[Штрихкод ]],1))," ")</f>
        <v xml:space="preserve"> </v>
      </c>
      <c r="Y9">
        <f>IFERROR(VLOOKUP(Проливка[[#This Row],[ID]]*1,'Срок хранения'!A9:B107,2,0),0)</f>
        <v>0</v>
      </c>
      <c r="Z9">
        <f>IFERROR(VLOOKUP(Проливка[[#This Row],[ID]]*1,'Срок хранения'!A9:C107,3,0),0)</f>
        <v>0</v>
      </c>
    </row>
    <row r="10" spans="1:26" x14ac:dyDescent="0.25">
      <c r="A10" s="9"/>
      <c r="B10" s="12" t="str">
        <f t="shared" si="1"/>
        <v xml:space="preserve"> </v>
      </c>
      <c r="C10" s="10" t="str">
        <f t="shared" si="0"/>
        <v xml:space="preserve"> </v>
      </c>
      <c r="D10" s="10">
        <f t="shared" si="2"/>
        <v>0</v>
      </c>
      <c r="E10" s="10">
        <f t="shared" si="3"/>
        <v>0</v>
      </c>
      <c r="W10" t="str">
        <f>IFERROR(MID(Проливка[[#This Row],[Штрихкод ]],1,FIND("-",Проливка[[#This Row],[Штрихкод ]],1)-1)," ")</f>
        <v xml:space="preserve"> </v>
      </c>
      <c r="X10" t="str">
        <f>IFERROR(RIGHT(Проливка[[#This Row],[Штрихкод ]],LEN(Проливка[[#This Row],[Штрихкод ]])-SEARCH("-",Проливка[[#This Row],[Штрихкод ]],1))," ")</f>
        <v xml:space="preserve"> </v>
      </c>
      <c r="Y10">
        <f>IFERROR(VLOOKUP(Проливка[[#This Row],[ID]]*1,'Срок хранения'!A10:B108,2,0),0)</f>
        <v>0</v>
      </c>
      <c r="Z10">
        <f>IFERROR(VLOOKUP(Проливка[[#This Row],[ID]]*1,'Срок хранения'!A10:C108,3,0),0)</f>
        <v>0</v>
      </c>
    </row>
    <row r="11" spans="1:26" x14ac:dyDescent="0.25">
      <c r="A11" s="9"/>
      <c r="B11" s="12" t="str">
        <f t="shared" si="1"/>
        <v xml:space="preserve"> </v>
      </c>
      <c r="C11" s="10" t="str">
        <f t="shared" si="0"/>
        <v xml:space="preserve"> </v>
      </c>
      <c r="D11" s="10">
        <f t="shared" si="2"/>
        <v>0</v>
      </c>
      <c r="E11" s="10">
        <f t="shared" si="3"/>
        <v>0</v>
      </c>
      <c r="W11" t="str">
        <f>IFERROR(MID(Проливка[[#This Row],[Штрихкод ]],1,FIND("-",Проливка[[#This Row],[Штрихкод ]],1)-1)," ")</f>
        <v xml:space="preserve"> </v>
      </c>
      <c r="X11" t="str">
        <f>IFERROR(RIGHT(Проливка[[#This Row],[Штрихкод ]],LEN(Проливка[[#This Row],[Штрихкод ]])-SEARCH("-",Проливка[[#This Row],[Штрихкод ]],1))," ")</f>
        <v xml:space="preserve"> </v>
      </c>
      <c r="Y11">
        <f>IFERROR(VLOOKUP(Проливка[[#This Row],[ID]]*1,'Срок хранения'!A11:B109,2,0),0)</f>
        <v>0</v>
      </c>
      <c r="Z11">
        <f>IFERROR(VLOOKUP(Проливка[[#This Row],[ID]]*1,'Срок хранения'!A11:C109,3,0),0)</f>
        <v>0</v>
      </c>
    </row>
    <row r="12" spans="1:26" x14ac:dyDescent="0.25">
      <c r="A12" s="9"/>
      <c r="B12" s="12" t="str">
        <f t="shared" si="1"/>
        <v xml:space="preserve"> </v>
      </c>
      <c r="C12" s="10" t="str">
        <f t="shared" si="0"/>
        <v xml:space="preserve"> </v>
      </c>
      <c r="D12" s="10">
        <f t="shared" si="2"/>
        <v>0</v>
      </c>
      <c r="E12" s="10">
        <f t="shared" si="3"/>
        <v>0</v>
      </c>
      <c r="W12" t="str">
        <f>IFERROR(MID(Проливка[[#This Row],[Штрихкод ]],1,FIND("-",Проливка[[#This Row],[Штрихкод ]],1)-1)," ")</f>
        <v xml:space="preserve"> </v>
      </c>
      <c r="X12" t="str">
        <f>IFERROR(RIGHT(Проливка[[#This Row],[Штрихкод ]],LEN(Проливка[[#This Row],[Штрихкод ]])-SEARCH("-",Проливка[[#This Row],[Штрихкод ]],1))," ")</f>
        <v xml:space="preserve"> </v>
      </c>
      <c r="Y12">
        <f>IFERROR(VLOOKUP(Проливка[[#This Row],[ID]]*1,'Срок хранения'!A12:B110,2,0),0)</f>
        <v>0</v>
      </c>
      <c r="Z12">
        <f>IFERROR(VLOOKUP(Проливка[[#This Row],[ID]]*1,'Срок хранения'!A12:C110,3,0),0)</f>
        <v>0</v>
      </c>
    </row>
    <row r="13" spans="1:26" x14ac:dyDescent="0.25">
      <c r="A13" s="9"/>
      <c r="B13" s="12" t="str">
        <f t="shared" si="1"/>
        <v xml:space="preserve"> </v>
      </c>
      <c r="C13" s="10" t="str">
        <f t="shared" si="0"/>
        <v xml:space="preserve"> </v>
      </c>
      <c r="D13" s="10">
        <f t="shared" si="2"/>
        <v>0</v>
      </c>
      <c r="E13" s="10">
        <f t="shared" si="3"/>
        <v>0</v>
      </c>
      <c r="W13" t="str">
        <f>IFERROR(MID(Проливка[[#This Row],[Штрихкод ]],1,FIND("-",Проливка[[#This Row],[Штрихкод ]],1)-1)," ")</f>
        <v xml:space="preserve"> </v>
      </c>
      <c r="X13" t="str">
        <f>IFERROR(RIGHT(Проливка[[#This Row],[Штрихкод ]],LEN(Проливка[[#This Row],[Штрихкод ]])-SEARCH("-",Проливка[[#This Row],[Штрихкод ]],1))," ")</f>
        <v xml:space="preserve"> </v>
      </c>
      <c r="Y13">
        <f>IFERROR(VLOOKUP(Проливка[[#This Row],[ID]]*1,'Срок хранения'!A13:B111,2,0),0)</f>
        <v>0</v>
      </c>
      <c r="Z13">
        <f>IFERROR(VLOOKUP(Проливка[[#This Row],[ID]]*1,'Срок хранения'!A13:C111,3,0),0)</f>
        <v>0</v>
      </c>
    </row>
    <row r="14" spans="1:26" x14ac:dyDescent="0.25">
      <c r="A14" s="9"/>
      <c r="B14" s="12" t="str">
        <f t="shared" si="1"/>
        <v xml:space="preserve"> </v>
      </c>
      <c r="C14" s="10" t="str">
        <f t="shared" si="0"/>
        <v xml:space="preserve"> </v>
      </c>
      <c r="D14" s="10">
        <f t="shared" si="2"/>
        <v>0</v>
      </c>
      <c r="E14" s="10">
        <f t="shared" si="3"/>
        <v>0</v>
      </c>
      <c r="W14" t="str">
        <f>IFERROR(MID(Проливка[[#This Row],[Штрихкод ]],1,FIND("-",Проливка[[#This Row],[Штрихкод ]],1)-1)," ")</f>
        <v xml:space="preserve"> </v>
      </c>
      <c r="X14" t="str">
        <f>IFERROR(RIGHT(Проливка[[#This Row],[Штрихкод ]],LEN(Проливка[[#This Row],[Штрихкод ]])-SEARCH("-",Проливка[[#This Row],[Штрихкод ]],1))," ")</f>
        <v xml:space="preserve"> </v>
      </c>
      <c r="Y14">
        <f>IFERROR(VLOOKUP(Проливка[[#This Row],[ID]]*1,'Срок хранения'!A14:B112,2,0),0)</f>
        <v>0</v>
      </c>
      <c r="Z14">
        <f>IFERROR(VLOOKUP(Проливка[[#This Row],[ID]]*1,'Срок хранения'!A14:C112,3,0),0)</f>
        <v>0</v>
      </c>
    </row>
    <row r="15" spans="1:26" x14ac:dyDescent="0.25">
      <c r="A15" s="9"/>
      <c r="B15" s="12" t="str">
        <f t="shared" si="1"/>
        <v xml:space="preserve"> </v>
      </c>
      <c r="C15" s="10" t="str">
        <f t="shared" si="0"/>
        <v xml:space="preserve"> </v>
      </c>
      <c r="D15" s="10">
        <f t="shared" si="2"/>
        <v>0</v>
      </c>
      <c r="E15" s="10">
        <f t="shared" si="3"/>
        <v>0</v>
      </c>
      <c r="W15" t="str">
        <f>IFERROR(MID(Проливка[[#This Row],[Штрихкод ]],1,FIND("-",Проливка[[#This Row],[Штрихкод ]],1)-1)," ")</f>
        <v xml:space="preserve"> </v>
      </c>
      <c r="X15" t="str">
        <f>IFERROR(RIGHT(Проливка[[#This Row],[Штрихкод ]],LEN(Проливка[[#This Row],[Штрихкод ]])-SEARCH("-",Проливка[[#This Row],[Штрихкод ]],1))," ")</f>
        <v xml:space="preserve"> </v>
      </c>
      <c r="Y15">
        <f>IFERROR(VLOOKUP(Проливка[[#This Row],[ID]]*1,'Срок хранения'!A15:B113,2,0),0)</f>
        <v>0</v>
      </c>
      <c r="Z15">
        <f>IFERROR(VLOOKUP(Проливка[[#This Row],[ID]]*1,'Срок хранения'!A15:C113,3,0),0)</f>
        <v>0</v>
      </c>
    </row>
    <row r="16" spans="1:26" x14ac:dyDescent="0.25">
      <c r="A16" s="9"/>
      <c r="B16" s="12" t="str">
        <f t="shared" si="1"/>
        <v xml:space="preserve"> </v>
      </c>
      <c r="C16" s="10" t="str">
        <f t="shared" si="0"/>
        <v xml:space="preserve"> </v>
      </c>
      <c r="D16" s="10">
        <f t="shared" si="2"/>
        <v>0</v>
      </c>
      <c r="E16" s="10">
        <f t="shared" si="3"/>
        <v>0</v>
      </c>
      <c r="W16" t="str">
        <f>IFERROR(MID(Проливка[[#This Row],[Штрихкод ]],1,FIND("-",Проливка[[#This Row],[Штрихкод ]],1)-1)," ")</f>
        <v xml:space="preserve"> </v>
      </c>
      <c r="X16" t="str">
        <f>IFERROR(RIGHT(Проливка[[#This Row],[Штрихкод ]],LEN(Проливка[[#This Row],[Штрихкод ]])-SEARCH("-",Проливка[[#This Row],[Штрихкод ]],1))," ")</f>
        <v xml:space="preserve"> </v>
      </c>
      <c r="Y16">
        <f>IFERROR(VLOOKUP(Проливка[[#This Row],[ID]]*1,'Срок хранения'!A16:B114,2,0),0)</f>
        <v>0</v>
      </c>
      <c r="Z16">
        <f>IFERROR(VLOOKUP(Проливка[[#This Row],[ID]]*1,'Срок хранения'!A16:C114,3,0),0)</f>
        <v>0</v>
      </c>
    </row>
    <row r="17" spans="1:26" x14ac:dyDescent="0.25">
      <c r="A17" s="9"/>
      <c r="B17" s="12" t="str">
        <f t="shared" si="1"/>
        <v xml:space="preserve"> </v>
      </c>
      <c r="C17" s="10" t="str">
        <f t="shared" si="0"/>
        <v xml:space="preserve"> </v>
      </c>
      <c r="D17" s="10">
        <f t="shared" si="2"/>
        <v>0</v>
      </c>
      <c r="E17" s="10">
        <f t="shared" si="3"/>
        <v>0</v>
      </c>
      <c r="W17" t="str">
        <f>IFERROR(MID(Проливка[[#This Row],[Штрихкод ]],1,FIND("-",Проливка[[#This Row],[Штрихкод ]],1)-1)," ")</f>
        <v xml:space="preserve"> </v>
      </c>
      <c r="X17" t="str">
        <f>IFERROR(RIGHT(Проливка[[#This Row],[Штрихкод ]],LEN(Проливка[[#This Row],[Штрихкод ]])-SEARCH("-",Проливка[[#This Row],[Штрихкод ]],1))," ")</f>
        <v xml:space="preserve"> </v>
      </c>
      <c r="Y17">
        <f>IFERROR(VLOOKUP(Проливка[[#This Row],[ID]]*1,'Срок хранения'!A17:B115,2,0),0)</f>
        <v>0</v>
      </c>
      <c r="Z17">
        <f>IFERROR(VLOOKUP(Проливка[[#This Row],[ID]]*1,'Срок хранения'!A17:C115,3,0),0)</f>
        <v>0</v>
      </c>
    </row>
    <row r="18" spans="1:26" x14ac:dyDescent="0.25">
      <c r="A18" s="9"/>
      <c r="B18" s="12" t="str">
        <f t="shared" si="1"/>
        <v xml:space="preserve"> </v>
      </c>
      <c r="C18" s="10" t="str">
        <f t="shared" si="0"/>
        <v xml:space="preserve"> </v>
      </c>
      <c r="D18" s="10">
        <f t="shared" si="2"/>
        <v>0</v>
      </c>
      <c r="E18" s="10">
        <f t="shared" si="3"/>
        <v>0</v>
      </c>
      <c r="W18" t="str">
        <f>IFERROR(MID(Проливка[[#This Row],[Штрихкод ]],1,FIND("-",Проливка[[#This Row],[Штрихкод ]],1)-1)," ")</f>
        <v xml:space="preserve"> </v>
      </c>
      <c r="X18" t="str">
        <f>IFERROR(RIGHT(Проливка[[#This Row],[Штрихкод ]],LEN(Проливка[[#This Row],[Штрихкод ]])-SEARCH("-",Проливка[[#This Row],[Штрихкод ]],1))," ")</f>
        <v xml:space="preserve"> </v>
      </c>
      <c r="Y18">
        <f>IFERROR(VLOOKUP(Проливка[[#This Row],[ID]]*1,'Срок хранения'!A18:B116,2,0),0)</f>
        <v>0</v>
      </c>
      <c r="Z18">
        <f>IFERROR(VLOOKUP(Проливка[[#This Row],[ID]]*1,'Срок хранения'!A18:C116,3,0),0)</f>
        <v>0</v>
      </c>
    </row>
    <row r="19" spans="1:26" x14ac:dyDescent="0.25">
      <c r="A19" s="9"/>
      <c r="B19" s="12" t="str">
        <f t="shared" si="1"/>
        <v xml:space="preserve"> </v>
      </c>
      <c r="C19" s="10" t="str">
        <f t="shared" si="0"/>
        <v xml:space="preserve"> </v>
      </c>
      <c r="D19" s="10">
        <f t="shared" si="2"/>
        <v>0</v>
      </c>
      <c r="E19" s="10">
        <f t="shared" si="3"/>
        <v>0</v>
      </c>
      <c r="W19" t="str">
        <f>IFERROR(MID(Проливка[[#This Row],[Штрихкод ]],1,FIND("-",Проливка[[#This Row],[Штрихкод ]],1)-1)," ")</f>
        <v xml:space="preserve"> </v>
      </c>
      <c r="X19" t="str">
        <f>IFERROR(RIGHT(Проливка[[#This Row],[Штрихкод ]],LEN(Проливка[[#This Row],[Штрихкод ]])-SEARCH("-",Проливка[[#This Row],[Штрихкод ]],1))," ")</f>
        <v xml:space="preserve"> </v>
      </c>
      <c r="Y19">
        <f>IFERROR(VLOOKUP(Проливка[[#This Row],[ID]]*1,'Срок хранения'!A19:B117,2,0),0)</f>
        <v>0</v>
      </c>
      <c r="Z19">
        <f>IFERROR(VLOOKUP(Проливка[[#This Row],[ID]]*1,'Срок хранения'!A19:C117,3,0),0)</f>
        <v>0</v>
      </c>
    </row>
    <row r="20" spans="1:26" x14ac:dyDescent="0.25">
      <c r="A20" s="9"/>
      <c r="B20" s="12" t="str">
        <f t="shared" si="1"/>
        <v xml:space="preserve"> </v>
      </c>
      <c r="C20" s="10" t="str">
        <f t="shared" si="0"/>
        <v xml:space="preserve"> </v>
      </c>
      <c r="D20" s="10">
        <f t="shared" si="2"/>
        <v>0</v>
      </c>
      <c r="E20" s="10">
        <f t="shared" si="3"/>
        <v>0</v>
      </c>
      <c r="W20" t="str">
        <f>IFERROR(MID(Проливка[[#This Row],[Штрихкод ]],1,FIND("-",Проливка[[#This Row],[Штрихкод ]],1)-1)," ")</f>
        <v xml:space="preserve"> </v>
      </c>
      <c r="X20" t="str">
        <f>IFERROR(RIGHT(Проливка[[#This Row],[Штрихкод ]],LEN(Проливка[[#This Row],[Штрихкод ]])-SEARCH("-",Проливка[[#This Row],[Штрихкод ]],1))," ")</f>
        <v xml:space="preserve"> </v>
      </c>
      <c r="Y20">
        <f>IFERROR(VLOOKUP(Проливка[[#This Row],[ID]]*1,'Срок хранения'!A20:B118,2,0),0)</f>
        <v>0</v>
      </c>
      <c r="Z20">
        <f>IFERROR(VLOOKUP(Проливка[[#This Row],[ID]]*1,'Срок хранения'!A20:C118,3,0),0)</f>
        <v>0</v>
      </c>
    </row>
    <row r="21" spans="1:26" x14ac:dyDescent="0.25">
      <c r="A21" s="9"/>
      <c r="B21" s="12" t="str">
        <f t="shared" si="1"/>
        <v xml:space="preserve"> </v>
      </c>
      <c r="C21" s="10" t="str">
        <f t="shared" si="0"/>
        <v xml:space="preserve"> </v>
      </c>
      <c r="D21" s="10">
        <f t="shared" si="2"/>
        <v>0</v>
      </c>
      <c r="E21" s="10">
        <f t="shared" si="3"/>
        <v>0</v>
      </c>
      <c r="W21" t="str">
        <f>IFERROR(MID(Проливка[[#This Row],[Штрихкод ]],1,FIND("-",Проливка[[#This Row],[Штрихкод ]],1)-1)," ")</f>
        <v xml:space="preserve"> </v>
      </c>
      <c r="X21" t="str">
        <f>IFERROR(RIGHT(Проливка[[#This Row],[Штрихкод ]],LEN(Проливка[[#This Row],[Штрихкод ]])-SEARCH("-",Проливка[[#This Row],[Штрихкод ]],1))," ")</f>
        <v xml:space="preserve"> </v>
      </c>
      <c r="Y21">
        <f>IFERROR(VLOOKUP(Проливка[[#This Row],[ID]]*1,'Срок хранения'!A21:B119,2,0),0)</f>
        <v>0</v>
      </c>
      <c r="Z21">
        <f>IFERROR(VLOOKUP(Проливка[[#This Row],[ID]]*1,'Срок хранения'!A21:C119,3,0),0)</f>
        <v>0</v>
      </c>
    </row>
    <row r="22" spans="1:26" x14ac:dyDescent="0.25">
      <c r="A22" s="9"/>
      <c r="B22" s="12" t="str">
        <f t="shared" si="1"/>
        <v xml:space="preserve"> </v>
      </c>
      <c r="C22" s="10" t="str">
        <f t="shared" si="0"/>
        <v xml:space="preserve"> </v>
      </c>
      <c r="D22" s="10">
        <f t="shared" si="2"/>
        <v>0</v>
      </c>
      <c r="E22" s="10">
        <f t="shared" si="3"/>
        <v>0</v>
      </c>
      <c r="W22" t="str">
        <f>IFERROR(MID(Проливка[[#This Row],[Штрихкод ]],1,FIND("-",Проливка[[#This Row],[Штрихкод ]],1)-1)," ")</f>
        <v xml:space="preserve"> </v>
      </c>
      <c r="X22" t="str">
        <f>IFERROR(RIGHT(Проливка[[#This Row],[Штрихкод ]],LEN(Проливка[[#This Row],[Штрихкод ]])-SEARCH("-",Проливка[[#This Row],[Штрихкод ]],1))," ")</f>
        <v xml:space="preserve"> </v>
      </c>
      <c r="Y22">
        <f>IFERROR(VLOOKUP(Проливка[[#This Row],[ID]]*1,'Срок хранения'!A22:B120,2,0),0)</f>
        <v>0</v>
      </c>
      <c r="Z22">
        <f>IFERROR(VLOOKUP(Проливка[[#This Row],[ID]]*1,'Срок хранения'!A22:C120,3,0),0)</f>
        <v>0</v>
      </c>
    </row>
    <row r="23" spans="1:26" x14ac:dyDescent="0.25">
      <c r="A23" s="9"/>
      <c r="B23" s="12" t="str">
        <f t="shared" si="1"/>
        <v xml:space="preserve"> </v>
      </c>
      <c r="C23" s="10" t="str">
        <f t="shared" si="0"/>
        <v xml:space="preserve"> </v>
      </c>
      <c r="D23" s="10">
        <f t="shared" si="2"/>
        <v>0</v>
      </c>
      <c r="E23" s="10">
        <f t="shared" si="3"/>
        <v>0</v>
      </c>
      <c r="W23" t="str">
        <f>IFERROR(MID(Проливка[[#This Row],[Штрихкод ]],1,FIND("-",Проливка[[#This Row],[Штрихкод ]],1)-1)," ")</f>
        <v xml:space="preserve"> </v>
      </c>
      <c r="X23" t="str">
        <f>IFERROR(RIGHT(Проливка[[#This Row],[Штрихкод ]],LEN(Проливка[[#This Row],[Штрихкод ]])-SEARCH("-",Проливка[[#This Row],[Штрихкод ]],1))," ")</f>
        <v xml:space="preserve"> </v>
      </c>
      <c r="Y23">
        <f>IFERROR(VLOOKUP(Проливка[[#This Row],[ID]]*1,'Срок хранения'!A23:B121,2,0),0)</f>
        <v>0</v>
      </c>
      <c r="Z23">
        <f>IFERROR(VLOOKUP(Проливка[[#This Row],[ID]]*1,'Срок хранения'!A23:C121,3,0),0)</f>
        <v>0</v>
      </c>
    </row>
    <row r="24" spans="1:26" x14ac:dyDescent="0.25">
      <c r="A24" s="9"/>
      <c r="B24" s="12" t="str">
        <f t="shared" si="1"/>
        <v xml:space="preserve"> </v>
      </c>
      <c r="C24" s="10" t="str">
        <f t="shared" si="0"/>
        <v xml:space="preserve"> </v>
      </c>
      <c r="D24" s="10">
        <f t="shared" si="2"/>
        <v>0</v>
      </c>
      <c r="E24" s="10">
        <f t="shared" si="3"/>
        <v>0</v>
      </c>
      <c r="W24" t="str">
        <f>IFERROR(MID(Проливка[[#This Row],[Штрихкод ]],1,FIND("-",Проливка[[#This Row],[Штрихкод ]],1)-1)," ")</f>
        <v xml:space="preserve"> </v>
      </c>
      <c r="X24" t="str">
        <f>IFERROR(RIGHT(Проливка[[#This Row],[Штрихкод ]],LEN(Проливка[[#This Row],[Штрихкод ]])-SEARCH("-",Проливка[[#This Row],[Штрихкод ]],1))," ")</f>
        <v xml:space="preserve"> </v>
      </c>
      <c r="Y24">
        <f>IFERROR(VLOOKUP(Проливка[[#This Row],[ID]]*1,'Срок хранения'!A24:B122,2,0),0)</f>
        <v>0</v>
      </c>
      <c r="Z24">
        <f>IFERROR(VLOOKUP(Проливка[[#This Row],[ID]]*1,'Срок хранения'!A24:C122,3,0),0)</f>
        <v>0</v>
      </c>
    </row>
    <row r="25" spans="1:26" x14ac:dyDescent="0.25">
      <c r="A25" s="9"/>
      <c r="B25" s="12" t="str">
        <f t="shared" si="1"/>
        <v xml:space="preserve"> </v>
      </c>
      <c r="C25" s="10" t="str">
        <f t="shared" si="0"/>
        <v xml:space="preserve"> </v>
      </c>
      <c r="D25" s="10">
        <f t="shared" si="2"/>
        <v>0</v>
      </c>
      <c r="E25" s="10">
        <f t="shared" si="3"/>
        <v>0</v>
      </c>
      <c r="W25" t="str">
        <f>IFERROR(MID(Проливка[[#This Row],[Штрихкод ]],1,FIND("-",Проливка[[#This Row],[Штрихкод ]],1)-1)," ")</f>
        <v xml:space="preserve"> </v>
      </c>
      <c r="X25" t="str">
        <f>IFERROR(RIGHT(Проливка[[#This Row],[Штрихкод ]],LEN(Проливка[[#This Row],[Штрихкод ]])-SEARCH("-",Проливка[[#This Row],[Штрихкод ]],1))," ")</f>
        <v xml:space="preserve"> </v>
      </c>
      <c r="Y25">
        <f>IFERROR(VLOOKUP(Проливка[[#This Row],[ID]]*1,'Срок хранения'!A25:B123,2,0),0)</f>
        <v>0</v>
      </c>
      <c r="Z25">
        <f>IFERROR(VLOOKUP(Проливка[[#This Row],[ID]]*1,'Срок хранения'!A25:C123,3,0),0)</f>
        <v>0</v>
      </c>
    </row>
    <row r="26" spans="1:26" x14ac:dyDescent="0.25">
      <c r="A26" s="9"/>
      <c r="B26" s="12" t="str">
        <f t="shared" si="1"/>
        <v xml:space="preserve"> </v>
      </c>
      <c r="C26" s="10" t="str">
        <f t="shared" si="0"/>
        <v xml:space="preserve"> </v>
      </c>
      <c r="D26" s="10">
        <f t="shared" si="2"/>
        <v>0</v>
      </c>
      <c r="E26" s="10">
        <f t="shared" si="3"/>
        <v>0</v>
      </c>
      <c r="W26" t="str">
        <f>IFERROR(MID(Проливка[[#This Row],[Штрихкод ]],1,FIND("-",Проливка[[#This Row],[Штрихкод ]],1)-1)," ")</f>
        <v xml:space="preserve"> </v>
      </c>
      <c r="X26" t="str">
        <f>IFERROR(RIGHT(Проливка[[#This Row],[Штрихкод ]],LEN(Проливка[[#This Row],[Штрихкод ]])-SEARCH("-",Проливка[[#This Row],[Штрихкод ]],1))," ")</f>
        <v xml:space="preserve"> </v>
      </c>
      <c r="Y26">
        <f>IFERROR(VLOOKUP(Проливка[[#This Row],[ID]]*1,'Срок хранения'!A26:B124,2,0),0)</f>
        <v>0</v>
      </c>
      <c r="Z26">
        <f>IFERROR(VLOOKUP(Проливка[[#This Row],[ID]]*1,'Срок хранения'!A26:C124,3,0),0)</f>
        <v>0</v>
      </c>
    </row>
    <row r="27" spans="1:26" x14ac:dyDescent="0.25">
      <c r="A27" s="9"/>
      <c r="B27" s="12" t="str">
        <f t="shared" si="1"/>
        <v xml:space="preserve"> </v>
      </c>
      <c r="C27" s="10" t="str">
        <f t="shared" si="0"/>
        <v xml:space="preserve"> </v>
      </c>
      <c r="D27" s="10">
        <f t="shared" si="2"/>
        <v>0</v>
      </c>
      <c r="E27" s="10">
        <f t="shared" si="3"/>
        <v>0</v>
      </c>
      <c r="W27" t="str">
        <f>IFERROR(MID(Проливка[[#This Row],[Штрихкод ]],1,FIND("-",Проливка[[#This Row],[Штрихкод ]],1)-1)," ")</f>
        <v xml:space="preserve"> </v>
      </c>
      <c r="X27" t="str">
        <f>IFERROR(RIGHT(Проливка[[#This Row],[Штрихкод ]],LEN(Проливка[[#This Row],[Штрихкод ]])-SEARCH("-",Проливка[[#This Row],[Штрихкод ]],1))," ")</f>
        <v xml:space="preserve"> </v>
      </c>
      <c r="Y27">
        <f>IFERROR(VLOOKUP(Проливка[[#This Row],[ID]]*1,'Срок хранения'!A27:B125,2,0),0)</f>
        <v>0</v>
      </c>
      <c r="Z27">
        <f>IFERROR(VLOOKUP(Проливка[[#This Row],[ID]]*1,'Срок хранения'!A27:C125,3,0),0)</f>
        <v>0</v>
      </c>
    </row>
    <row r="28" spans="1:26" x14ac:dyDescent="0.25">
      <c r="A28" s="9"/>
      <c r="B28" s="12" t="str">
        <f t="shared" si="1"/>
        <v xml:space="preserve"> </v>
      </c>
      <c r="C28" s="10" t="str">
        <f t="shared" si="0"/>
        <v xml:space="preserve"> </v>
      </c>
      <c r="D28" s="10">
        <f t="shared" si="2"/>
        <v>0</v>
      </c>
      <c r="E28" s="10">
        <f t="shared" si="3"/>
        <v>0</v>
      </c>
      <c r="W28" t="str">
        <f>IFERROR(MID(Проливка[[#This Row],[Штрихкод ]],1,FIND("-",Проливка[[#This Row],[Штрихкод ]],1)-1)," ")</f>
        <v xml:space="preserve"> </v>
      </c>
      <c r="X28" t="str">
        <f>IFERROR(RIGHT(Проливка[[#This Row],[Штрихкод ]],LEN(Проливка[[#This Row],[Штрихкод ]])-SEARCH("-",Проливка[[#This Row],[Штрихкод ]],1))," ")</f>
        <v xml:space="preserve"> </v>
      </c>
      <c r="Y28">
        <f>IFERROR(VLOOKUP(Проливка[[#This Row],[ID]]*1,'Срок хранения'!A28:B126,2,0),0)</f>
        <v>0</v>
      </c>
      <c r="Z28">
        <f>IFERROR(VLOOKUP(Проливка[[#This Row],[ID]]*1,'Срок хранения'!A28:C126,3,0),0)</f>
        <v>0</v>
      </c>
    </row>
    <row r="29" spans="1:26" x14ac:dyDescent="0.25">
      <c r="A29" s="9"/>
      <c r="B29" s="12" t="str">
        <f t="shared" si="1"/>
        <v xml:space="preserve"> </v>
      </c>
      <c r="C29" s="10" t="str">
        <f t="shared" si="0"/>
        <v xml:space="preserve"> </v>
      </c>
      <c r="D29" s="10">
        <f t="shared" si="2"/>
        <v>0</v>
      </c>
      <c r="E29" s="10">
        <f t="shared" si="3"/>
        <v>0</v>
      </c>
      <c r="W29" t="str">
        <f>IFERROR(MID(Проливка[[#This Row],[Штрихкод ]],1,FIND("-",Проливка[[#This Row],[Штрихкод ]],1)-1)," ")</f>
        <v xml:space="preserve"> </v>
      </c>
      <c r="X29" t="str">
        <f>IFERROR(RIGHT(Проливка[[#This Row],[Штрихкод ]],LEN(Проливка[[#This Row],[Штрихкод ]])-SEARCH("-",Проливка[[#This Row],[Штрихкод ]],1))," ")</f>
        <v xml:space="preserve"> </v>
      </c>
      <c r="Y29">
        <f>IFERROR(VLOOKUP(Проливка[[#This Row],[ID]]*1,'Срок хранения'!A29:B127,2,0),0)</f>
        <v>0</v>
      </c>
      <c r="Z29">
        <f>IFERROR(VLOOKUP(Проливка[[#This Row],[ID]]*1,'Срок хранения'!A29:C127,3,0),0)</f>
        <v>0</v>
      </c>
    </row>
    <row r="30" spans="1:26" x14ac:dyDescent="0.25">
      <c r="A30" s="9"/>
      <c r="B30" s="12" t="str">
        <f t="shared" si="1"/>
        <v xml:space="preserve"> </v>
      </c>
      <c r="C30" s="10" t="str">
        <f t="shared" si="0"/>
        <v xml:space="preserve"> </v>
      </c>
      <c r="D30" s="10">
        <f t="shared" si="2"/>
        <v>0</v>
      </c>
      <c r="E30" s="10">
        <f t="shared" si="3"/>
        <v>0</v>
      </c>
      <c r="W30" t="str">
        <f>IFERROR(MID(Проливка[[#This Row],[Штрихкод ]],1,FIND("-",Проливка[[#This Row],[Штрихкод ]],1)-1)," ")</f>
        <v xml:space="preserve"> </v>
      </c>
      <c r="X30" t="str">
        <f>IFERROR(RIGHT(Проливка[[#This Row],[Штрихкод ]],LEN(Проливка[[#This Row],[Штрихкод ]])-SEARCH("-",Проливка[[#This Row],[Штрихкод ]],1))," ")</f>
        <v xml:space="preserve"> </v>
      </c>
      <c r="Y30">
        <f>IFERROR(VLOOKUP(Проливка[[#This Row],[ID]]*1,'Срок хранения'!A30:B128,2,0),0)</f>
        <v>0</v>
      </c>
      <c r="Z30">
        <f>IFERROR(VLOOKUP(Проливка[[#This Row],[ID]]*1,'Срок хранения'!A30:C128,3,0),0)</f>
        <v>0</v>
      </c>
    </row>
    <row r="31" spans="1:26" x14ac:dyDescent="0.25">
      <c r="A31" s="9"/>
      <c r="B31" s="12" t="str">
        <f t="shared" si="1"/>
        <v xml:space="preserve"> </v>
      </c>
      <c r="C31" s="10" t="str">
        <f t="shared" si="0"/>
        <v xml:space="preserve"> </v>
      </c>
      <c r="D31" s="10">
        <f t="shared" si="2"/>
        <v>0</v>
      </c>
      <c r="E31" s="10">
        <f t="shared" si="3"/>
        <v>0</v>
      </c>
      <c r="W31" t="str">
        <f>IFERROR(MID(Проливка[[#This Row],[Штрихкод ]],1,FIND("-",Проливка[[#This Row],[Штрихкод ]],1)-1)," ")</f>
        <v xml:space="preserve"> </v>
      </c>
      <c r="X31" t="str">
        <f>IFERROR(RIGHT(Проливка[[#This Row],[Штрихкод ]],LEN(Проливка[[#This Row],[Штрихкод ]])-SEARCH("-",Проливка[[#This Row],[Штрихкод ]],1))," ")</f>
        <v xml:space="preserve"> </v>
      </c>
      <c r="Y31">
        <f>IFERROR(VLOOKUP(Проливка[[#This Row],[ID]]*1,'Срок хранения'!A31:B129,2,0),0)</f>
        <v>0</v>
      </c>
      <c r="Z31">
        <f>IFERROR(VLOOKUP(Проливка[[#This Row],[ID]]*1,'Срок хранения'!A31:C129,3,0),0)</f>
        <v>0</v>
      </c>
    </row>
    <row r="32" spans="1:26" x14ac:dyDescent="0.25">
      <c r="A32" s="9"/>
      <c r="B32" s="12" t="str">
        <f t="shared" si="1"/>
        <v xml:space="preserve"> </v>
      </c>
      <c r="C32" s="10" t="str">
        <f t="shared" si="0"/>
        <v xml:space="preserve"> </v>
      </c>
      <c r="D32" s="10">
        <f t="shared" si="2"/>
        <v>0</v>
      </c>
      <c r="E32" s="10">
        <f t="shared" si="3"/>
        <v>0</v>
      </c>
      <c r="W32" t="str">
        <f>IFERROR(MID(Проливка[[#This Row],[Штрихкод ]],1,FIND("-",Проливка[[#This Row],[Штрихкод ]],1)-1)," ")</f>
        <v xml:space="preserve"> </v>
      </c>
      <c r="X32" t="str">
        <f>IFERROR(RIGHT(Проливка[[#This Row],[Штрихкод ]],LEN(Проливка[[#This Row],[Штрихкод ]])-SEARCH("-",Проливка[[#This Row],[Штрихкод ]],1))," ")</f>
        <v xml:space="preserve"> </v>
      </c>
      <c r="Y32">
        <f>IFERROR(VLOOKUP(Проливка[[#This Row],[ID]]*1,'Срок хранения'!A32:B130,2,0),0)</f>
        <v>0</v>
      </c>
      <c r="Z32">
        <f>IFERROR(VLOOKUP(Проливка[[#This Row],[ID]]*1,'Срок хранения'!A32:C130,3,0),0)</f>
        <v>0</v>
      </c>
    </row>
    <row r="33" spans="1:26" x14ac:dyDescent="0.25">
      <c r="A33" s="9"/>
      <c r="B33" s="12" t="str">
        <f t="shared" si="1"/>
        <v xml:space="preserve"> </v>
      </c>
      <c r="C33" s="10" t="str">
        <f t="shared" si="0"/>
        <v xml:space="preserve"> </v>
      </c>
      <c r="D33" s="10">
        <f t="shared" si="2"/>
        <v>0</v>
      </c>
      <c r="E33" s="10">
        <f t="shared" si="3"/>
        <v>0</v>
      </c>
      <c r="W33" t="str">
        <f>IFERROR(MID(Проливка[[#This Row],[Штрихкод ]],1,FIND("-",Проливка[[#This Row],[Штрихкод ]],1)-1)," ")</f>
        <v xml:space="preserve"> </v>
      </c>
      <c r="X33" t="str">
        <f>IFERROR(RIGHT(Проливка[[#This Row],[Штрихкод ]],LEN(Проливка[[#This Row],[Штрихкод ]])-SEARCH("-",Проливка[[#This Row],[Штрихкод ]],1))," ")</f>
        <v xml:space="preserve"> </v>
      </c>
      <c r="Y33">
        <f>IFERROR(VLOOKUP(Проливка[[#This Row],[ID]]*1,'Срок хранения'!A33:B131,2,0),0)</f>
        <v>0</v>
      </c>
      <c r="Z33">
        <f>IFERROR(VLOOKUP(Проливка[[#This Row],[ID]]*1,'Срок хранения'!A33:C131,3,0),0)</f>
        <v>0</v>
      </c>
    </row>
    <row r="34" spans="1:26" x14ac:dyDescent="0.25">
      <c r="A34" s="9"/>
      <c r="B34" s="12" t="str">
        <f t="shared" si="1"/>
        <v xml:space="preserve"> </v>
      </c>
      <c r="C34" s="10" t="str">
        <f t="shared" si="0"/>
        <v xml:space="preserve"> </v>
      </c>
      <c r="D34" s="10">
        <f t="shared" si="2"/>
        <v>0</v>
      </c>
      <c r="E34" s="10">
        <f t="shared" si="3"/>
        <v>0</v>
      </c>
      <c r="W34" t="str">
        <f>IFERROR(MID(Проливка[[#This Row],[Штрихкод ]],1,FIND("-",Проливка[[#This Row],[Штрихкод ]],1)-1)," ")</f>
        <v xml:space="preserve"> </v>
      </c>
      <c r="X34" t="str">
        <f>IFERROR(RIGHT(Проливка[[#This Row],[Штрихкод ]],LEN(Проливка[[#This Row],[Штрихкод ]])-SEARCH("-",Проливка[[#This Row],[Штрихкод ]],1))," ")</f>
        <v xml:space="preserve"> </v>
      </c>
      <c r="Y34">
        <f>IFERROR(VLOOKUP(Проливка[[#This Row],[ID]]*1,'Срок хранения'!A34:B132,2,0),0)</f>
        <v>0</v>
      </c>
      <c r="Z34">
        <f>IFERROR(VLOOKUP(Проливка[[#This Row],[ID]]*1,'Срок хранения'!A34:C132,3,0),0)</f>
        <v>0</v>
      </c>
    </row>
    <row r="35" spans="1:26" x14ac:dyDescent="0.25">
      <c r="A35" s="9"/>
      <c r="B35" s="12" t="str">
        <f t="shared" si="1"/>
        <v xml:space="preserve"> </v>
      </c>
      <c r="C35" s="10" t="str">
        <f t="shared" si="0"/>
        <v xml:space="preserve"> </v>
      </c>
      <c r="D35" s="10">
        <f t="shared" si="2"/>
        <v>0</v>
      </c>
      <c r="E35" s="10">
        <f t="shared" si="3"/>
        <v>0</v>
      </c>
      <c r="W35" t="str">
        <f>IFERROR(MID(Проливка[[#This Row],[Штрихкод ]],1,FIND("-",Проливка[[#This Row],[Штрихкод ]],1)-1)," ")</f>
        <v xml:space="preserve"> </v>
      </c>
      <c r="X35" t="str">
        <f>IFERROR(RIGHT(Проливка[[#This Row],[Штрихкод ]],LEN(Проливка[[#This Row],[Штрихкод ]])-SEARCH("-",Проливка[[#This Row],[Штрихкод ]],1))," ")</f>
        <v xml:space="preserve"> </v>
      </c>
      <c r="Y35">
        <f>IFERROR(VLOOKUP(Проливка[[#This Row],[ID]]*1,'Срок хранения'!A35:B133,2,0),0)</f>
        <v>0</v>
      </c>
      <c r="Z35">
        <f>IFERROR(VLOOKUP(Проливка[[#This Row],[ID]]*1,'Срок хранения'!A35:C133,3,0),0)</f>
        <v>0</v>
      </c>
    </row>
    <row r="36" spans="1:26" x14ac:dyDescent="0.25">
      <c r="A36" s="9"/>
      <c r="B36" s="12" t="str">
        <f t="shared" si="1"/>
        <v xml:space="preserve"> </v>
      </c>
      <c r="C36" s="10" t="str">
        <f t="shared" si="0"/>
        <v xml:space="preserve"> </v>
      </c>
      <c r="D36" s="10">
        <f t="shared" si="2"/>
        <v>0</v>
      </c>
      <c r="E36" s="10">
        <f t="shared" si="3"/>
        <v>0</v>
      </c>
      <c r="W36" t="str">
        <f>IFERROR(MID(Проливка[[#This Row],[Штрихкод ]],1,FIND("-",Проливка[[#This Row],[Штрихкод ]],1)-1)," ")</f>
        <v xml:space="preserve"> </v>
      </c>
      <c r="X36" t="str">
        <f>IFERROR(RIGHT(Проливка[[#This Row],[Штрихкод ]],LEN(Проливка[[#This Row],[Штрихкод ]])-SEARCH("-",Проливка[[#This Row],[Штрихкод ]],1))," ")</f>
        <v xml:space="preserve"> </v>
      </c>
      <c r="Y36">
        <f>IFERROR(VLOOKUP(Проливка[[#This Row],[ID]]*1,'Срок хранения'!A36:B134,2,0),0)</f>
        <v>0</v>
      </c>
      <c r="Z36">
        <f>IFERROR(VLOOKUP(Проливка[[#This Row],[ID]]*1,'Срок хранения'!A36:C134,3,0),0)</f>
        <v>0</v>
      </c>
    </row>
    <row r="37" spans="1:26" x14ac:dyDescent="0.25">
      <c r="A37" s="9"/>
      <c r="B37" s="12" t="str">
        <f t="shared" si="1"/>
        <v xml:space="preserve"> </v>
      </c>
      <c r="C37" s="10" t="str">
        <f t="shared" si="0"/>
        <v xml:space="preserve"> </v>
      </c>
      <c r="D37" s="10">
        <f t="shared" si="2"/>
        <v>0</v>
      </c>
      <c r="E37" s="10">
        <f t="shared" si="3"/>
        <v>0</v>
      </c>
      <c r="W37" t="str">
        <f>IFERROR(MID(Проливка[[#This Row],[Штрихкод ]],1,FIND("-",Проливка[[#This Row],[Штрихкод ]],1)-1)," ")</f>
        <v xml:space="preserve"> </v>
      </c>
      <c r="X37" t="str">
        <f>IFERROR(RIGHT(Проливка[[#This Row],[Штрихкод ]],LEN(Проливка[[#This Row],[Штрихкод ]])-SEARCH("-",Проливка[[#This Row],[Штрихкод ]],1))," ")</f>
        <v xml:space="preserve"> </v>
      </c>
      <c r="Y37">
        <f>IFERROR(VLOOKUP(Проливка[[#This Row],[ID]]*1,'Срок хранения'!A37:B135,2,0),0)</f>
        <v>0</v>
      </c>
      <c r="Z37">
        <f>IFERROR(VLOOKUP(Проливка[[#This Row],[ID]]*1,'Срок хранения'!A37:C135,3,0),0)</f>
        <v>0</v>
      </c>
    </row>
    <row r="38" spans="1:26" x14ac:dyDescent="0.25">
      <c r="A38" s="9"/>
      <c r="B38" s="12" t="str">
        <f t="shared" si="1"/>
        <v xml:space="preserve"> </v>
      </c>
      <c r="C38" s="10" t="str">
        <f t="shared" si="0"/>
        <v xml:space="preserve"> </v>
      </c>
      <c r="D38" s="10">
        <f t="shared" si="2"/>
        <v>0</v>
      </c>
      <c r="E38" s="10">
        <f t="shared" si="3"/>
        <v>0</v>
      </c>
      <c r="W38" t="str">
        <f>IFERROR(MID(Проливка[[#This Row],[Штрихкод ]],1,FIND("-",Проливка[[#This Row],[Штрихкод ]],1)-1)," ")</f>
        <v xml:space="preserve"> </v>
      </c>
      <c r="X38" t="str">
        <f>IFERROR(RIGHT(Проливка[[#This Row],[Штрихкод ]],LEN(Проливка[[#This Row],[Штрихкод ]])-SEARCH("-",Проливка[[#This Row],[Штрихкод ]],1))," ")</f>
        <v xml:space="preserve"> </v>
      </c>
      <c r="Y38">
        <f>IFERROR(VLOOKUP(Проливка[[#This Row],[ID]]*1,'Срок хранения'!A38:B136,2,0),0)</f>
        <v>0</v>
      </c>
      <c r="Z38">
        <f>IFERROR(VLOOKUP(Проливка[[#This Row],[ID]]*1,'Срок хранения'!A38:C136,3,0),0)</f>
        <v>0</v>
      </c>
    </row>
    <row r="39" spans="1:26" x14ac:dyDescent="0.25">
      <c r="A39" s="9"/>
      <c r="B39" s="12" t="str">
        <f t="shared" si="1"/>
        <v xml:space="preserve"> </v>
      </c>
      <c r="C39" s="10" t="str">
        <f t="shared" si="0"/>
        <v xml:space="preserve"> </v>
      </c>
      <c r="D39" s="10">
        <f t="shared" si="2"/>
        <v>0</v>
      </c>
      <c r="E39" s="10">
        <f t="shared" si="3"/>
        <v>0</v>
      </c>
      <c r="W39" t="str">
        <f>IFERROR(MID(Проливка[[#This Row],[Штрихкод ]],1,FIND("-",Проливка[[#This Row],[Штрихкод ]],1)-1)," ")</f>
        <v xml:space="preserve"> </v>
      </c>
      <c r="X39" t="str">
        <f>IFERROR(RIGHT(Проливка[[#This Row],[Штрихкод ]],LEN(Проливка[[#This Row],[Штрихкод ]])-SEARCH("-",Проливка[[#This Row],[Штрихкод ]],1))," ")</f>
        <v xml:space="preserve"> </v>
      </c>
      <c r="Y39">
        <f>IFERROR(VLOOKUP(Проливка[[#This Row],[ID]]*1,'Срок хранения'!A39:B137,2,0),0)</f>
        <v>0</v>
      </c>
      <c r="Z39">
        <f>IFERROR(VLOOKUP(Проливка[[#This Row],[ID]]*1,'Срок хранения'!A39:C137,3,0),0)</f>
        <v>0</v>
      </c>
    </row>
    <row r="40" spans="1:26" x14ac:dyDescent="0.25">
      <c r="A40" s="9"/>
      <c r="B40" s="12" t="str">
        <f t="shared" si="1"/>
        <v xml:space="preserve"> </v>
      </c>
      <c r="C40" s="10" t="str">
        <f t="shared" si="0"/>
        <v xml:space="preserve"> </v>
      </c>
      <c r="D40" s="10">
        <f t="shared" si="2"/>
        <v>0</v>
      </c>
      <c r="E40" s="10">
        <f t="shared" si="3"/>
        <v>0</v>
      </c>
      <c r="W40" t="str">
        <f>IFERROR(MID(Проливка[[#This Row],[Штрихкод ]],1,FIND("-",Проливка[[#This Row],[Штрихкод ]],1)-1)," ")</f>
        <v xml:space="preserve"> </v>
      </c>
      <c r="X40" t="str">
        <f>IFERROR(RIGHT(Проливка[[#This Row],[Штрихкод ]],LEN(Проливка[[#This Row],[Штрихкод ]])-SEARCH("-",Проливка[[#This Row],[Штрихкод ]],1))," ")</f>
        <v xml:space="preserve"> </v>
      </c>
      <c r="Y40">
        <f>IFERROR(VLOOKUP(Проливка[[#This Row],[ID]]*1,'Срок хранения'!A40:B138,2,0),0)</f>
        <v>0</v>
      </c>
      <c r="Z40">
        <f>IFERROR(VLOOKUP(Проливка[[#This Row],[ID]]*1,'Срок хранения'!A40:C138,3,0),0)</f>
        <v>0</v>
      </c>
    </row>
    <row r="41" spans="1:26" x14ac:dyDescent="0.25">
      <c r="A41" s="9"/>
      <c r="B41" s="12" t="str">
        <f t="shared" si="1"/>
        <v xml:space="preserve"> </v>
      </c>
      <c r="C41" s="10" t="str">
        <f t="shared" si="0"/>
        <v xml:space="preserve"> </v>
      </c>
      <c r="D41" s="10">
        <f t="shared" si="2"/>
        <v>0</v>
      </c>
      <c r="E41" s="10">
        <f t="shared" si="3"/>
        <v>0</v>
      </c>
      <c r="W41" t="str">
        <f>IFERROR(MID(Проливка[[#This Row],[Штрихкод ]],1,FIND("-",Проливка[[#This Row],[Штрихкод ]],1)-1)," ")</f>
        <v xml:space="preserve"> </v>
      </c>
      <c r="X41" t="str">
        <f>IFERROR(RIGHT(Проливка[[#This Row],[Штрихкод ]],LEN(Проливка[[#This Row],[Штрихкод ]])-SEARCH("-",Проливка[[#This Row],[Штрихкод ]],1))," ")</f>
        <v xml:space="preserve"> </v>
      </c>
      <c r="Y41">
        <f>IFERROR(VLOOKUP(Проливка[[#This Row],[ID]]*1,'Срок хранения'!A41:B139,2,0),0)</f>
        <v>0</v>
      </c>
      <c r="Z41">
        <f>IFERROR(VLOOKUP(Проливка[[#This Row],[ID]]*1,'Срок хранения'!A41:C139,3,0),0)</f>
        <v>0</v>
      </c>
    </row>
    <row r="42" spans="1:26" x14ac:dyDescent="0.25">
      <c r="A42" s="9"/>
      <c r="B42" s="12" t="str">
        <f t="shared" si="1"/>
        <v xml:space="preserve"> </v>
      </c>
      <c r="C42" s="10" t="str">
        <f t="shared" si="0"/>
        <v xml:space="preserve"> </v>
      </c>
      <c r="D42" s="10">
        <f t="shared" si="2"/>
        <v>0</v>
      </c>
      <c r="E42" s="10">
        <f t="shared" si="3"/>
        <v>0</v>
      </c>
      <c r="W42" t="str">
        <f>IFERROR(MID(Проливка[[#This Row],[Штрихкод ]],1,FIND("-",Проливка[[#This Row],[Штрихкод ]],1)-1)," ")</f>
        <v xml:space="preserve"> </v>
      </c>
      <c r="X42" t="str">
        <f>IFERROR(RIGHT(Проливка[[#This Row],[Штрихкод ]],LEN(Проливка[[#This Row],[Штрихкод ]])-SEARCH("-",Проливка[[#This Row],[Штрихкод ]],1))," ")</f>
        <v xml:space="preserve"> </v>
      </c>
      <c r="Y42">
        <f>IFERROR(VLOOKUP(Проливка[[#This Row],[ID]]*1,'Срок хранения'!A42:B140,2,0),0)</f>
        <v>0</v>
      </c>
      <c r="Z42">
        <f>IFERROR(VLOOKUP(Проливка[[#This Row],[ID]]*1,'Срок хранения'!A42:C140,3,0),0)</f>
        <v>0</v>
      </c>
    </row>
    <row r="43" spans="1:26" x14ac:dyDescent="0.25">
      <c r="A43" s="9"/>
      <c r="B43" s="12" t="str">
        <f t="shared" si="1"/>
        <v xml:space="preserve"> </v>
      </c>
      <c r="C43" s="10" t="str">
        <f t="shared" si="0"/>
        <v xml:space="preserve"> </v>
      </c>
      <c r="D43" s="10">
        <f t="shared" si="2"/>
        <v>0</v>
      </c>
      <c r="E43" s="10">
        <f t="shared" si="3"/>
        <v>0</v>
      </c>
      <c r="W43" t="str">
        <f>IFERROR(MID(Проливка[[#This Row],[Штрихкод ]],1,FIND("-",Проливка[[#This Row],[Штрихкод ]],1)-1)," ")</f>
        <v xml:space="preserve"> </v>
      </c>
      <c r="X43" t="str">
        <f>IFERROR(RIGHT(Проливка[[#This Row],[Штрихкод ]],LEN(Проливка[[#This Row],[Штрихкод ]])-SEARCH("-",Проливка[[#This Row],[Штрихкод ]],1))," ")</f>
        <v xml:space="preserve"> </v>
      </c>
      <c r="Y43">
        <f>IFERROR(VLOOKUP(Проливка[[#This Row],[ID]]*1,'Срок хранения'!A43:B141,2,0),0)</f>
        <v>0</v>
      </c>
      <c r="Z43">
        <f>IFERROR(VLOOKUP(Проливка[[#This Row],[ID]]*1,'Срок хранения'!A43:C141,3,0),0)</f>
        <v>0</v>
      </c>
    </row>
    <row r="44" spans="1:26" x14ac:dyDescent="0.25">
      <c r="A44" s="9"/>
      <c r="B44" s="12" t="str">
        <f t="shared" si="1"/>
        <v xml:space="preserve"> </v>
      </c>
      <c r="C44" s="10" t="str">
        <f t="shared" si="0"/>
        <v xml:space="preserve"> </v>
      </c>
      <c r="D44" s="10">
        <f t="shared" si="2"/>
        <v>0</v>
      </c>
      <c r="E44" s="10">
        <f t="shared" si="3"/>
        <v>0</v>
      </c>
      <c r="W44" t="str">
        <f>IFERROR(MID(Проливка[[#This Row],[Штрихкод ]],1,FIND("-",Проливка[[#This Row],[Штрихкод ]],1)-1)," ")</f>
        <v xml:space="preserve"> </v>
      </c>
      <c r="X44" t="str">
        <f>IFERROR(RIGHT(Проливка[[#This Row],[Штрихкод ]],LEN(Проливка[[#This Row],[Штрихкод ]])-SEARCH("-",Проливка[[#This Row],[Штрихкод ]],1))," ")</f>
        <v xml:space="preserve"> </v>
      </c>
      <c r="Y44">
        <f>IFERROR(VLOOKUP(Проливка[[#This Row],[ID]]*1,'Срок хранения'!A44:B142,2,0),0)</f>
        <v>0</v>
      </c>
      <c r="Z44">
        <f>IFERROR(VLOOKUP(Проливка[[#This Row],[ID]]*1,'Срок хранения'!A44:C142,3,0),0)</f>
        <v>0</v>
      </c>
    </row>
    <row r="45" spans="1:26" x14ac:dyDescent="0.25">
      <c r="A45" s="9"/>
      <c r="B45" s="12" t="str">
        <f t="shared" si="1"/>
        <v xml:space="preserve"> </v>
      </c>
      <c r="C45" s="10" t="str">
        <f t="shared" si="0"/>
        <v xml:space="preserve"> </v>
      </c>
      <c r="D45" s="10">
        <f t="shared" si="2"/>
        <v>0</v>
      </c>
      <c r="E45" s="10">
        <f t="shared" si="3"/>
        <v>0</v>
      </c>
      <c r="W45" t="str">
        <f>IFERROR(MID(Проливка[[#This Row],[Штрихкод ]],1,FIND("-",Проливка[[#This Row],[Штрихкод ]],1)-1)," ")</f>
        <v xml:space="preserve"> </v>
      </c>
      <c r="X45" t="str">
        <f>IFERROR(RIGHT(Проливка[[#This Row],[Штрихкод ]],LEN(Проливка[[#This Row],[Штрихкод ]])-SEARCH("-",Проливка[[#This Row],[Штрихкод ]],1))," ")</f>
        <v xml:space="preserve"> </v>
      </c>
      <c r="Y45">
        <f>IFERROR(VLOOKUP(Проливка[[#This Row],[ID]]*1,'Срок хранения'!A45:B143,2,0),0)</f>
        <v>0</v>
      </c>
      <c r="Z45">
        <f>IFERROR(VLOOKUP(Проливка[[#This Row],[ID]]*1,'Срок хранения'!A45:C143,3,0),0)</f>
        <v>0</v>
      </c>
    </row>
    <row r="46" spans="1:26" x14ac:dyDescent="0.25">
      <c r="A46" s="9"/>
      <c r="B46" s="12" t="str">
        <f t="shared" si="1"/>
        <v xml:space="preserve"> </v>
      </c>
      <c r="C46" s="10" t="str">
        <f t="shared" si="0"/>
        <v xml:space="preserve"> </v>
      </c>
      <c r="D46" s="10">
        <f t="shared" si="2"/>
        <v>0</v>
      </c>
      <c r="E46" s="10">
        <f t="shared" si="3"/>
        <v>0</v>
      </c>
      <c r="W46" t="str">
        <f>IFERROR(MID(Проливка[[#This Row],[Штрихкод ]],1,FIND("-",Проливка[[#This Row],[Штрихкод ]],1)-1)," ")</f>
        <v xml:space="preserve"> </v>
      </c>
      <c r="X46" t="str">
        <f>IFERROR(RIGHT(Проливка[[#This Row],[Штрихкод ]],LEN(Проливка[[#This Row],[Штрихкод ]])-SEARCH("-",Проливка[[#This Row],[Штрихкод ]],1))," ")</f>
        <v xml:space="preserve"> </v>
      </c>
      <c r="Y46">
        <f>IFERROR(VLOOKUP(Проливка[[#This Row],[ID]]*1,'Срок хранения'!A46:B144,2,0),0)</f>
        <v>0</v>
      </c>
      <c r="Z46">
        <f>IFERROR(VLOOKUP(Проливка[[#This Row],[ID]]*1,'Срок хранения'!A46:C144,3,0),0)</f>
        <v>0</v>
      </c>
    </row>
    <row r="47" spans="1:26" x14ac:dyDescent="0.25">
      <c r="A47" s="9"/>
      <c r="B47" s="12" t="str">
        <f t="shared" si="1"/>
        <v xml:space="preserve"> </v>
      </c>
      <c r="C47" s="10" t="str">
        <f t="shared" si="0"/>
        <v xml:space="preserve"> </v>
      </c>
      <c r="D47" s="10">
        <f t="shared" si="2"/>
        <v>0</v>
      </c>
      <c r="E47" s="10">
        <f t="shared" si="3"/>
        <v>0</v>
      </c>
      <c r="W47" t="str">
        <f>IFERROR(MID(Проливка[[#This Row],[Штрихкод ]],1,FIND("-",Проливка[[#This Row],[Штрихкод ]],1)-1)," ")</f>
        <v xml:space="preserve"> </v>
      </c>
      <c r="X47" t="str">
        <f>IFERROR(RIGHT(Проливка[[#This Row],[Штрихкод ]],LEN(Проливка[[#This Row],[Штрихкод ]])-SEARCH("-",Проливка[[#This Row],[Штрихкод ]],1))," ")</f>
        <v xml:space="preserve"> </v>
      </c>
      <c r="Y47">
        <f>IFERROR(VLOOKUP(Проливка[[#This Row],[ID]]*1,'Срок хранения'!A47:B145,2,0),0)</f>
        <v>0</v>
      </c>
      <c r="Z47">
        <f>IFERROR(VLOOKUP(Проливка[[#This Row],[ID]]*1,'Срок хранения'!A47:C145,3,0),0)</f>
        <v>0</v>
      </c>
    </row>
    <row r="48" spans="1:26" x14ac:dyDescent="0.25">
      <c r="A48" s="9"/>
      <c r="B48" s="12" t="str">
        <f t="shared" si="1"/>
        <v xml:space="preserve"> </v>
      </c>
      <c r="C48" s="10" t="str">
        <f t="shared" si="0"/>
        <v xml:space="preserve"> </v>
      </c>
      <c r="D48" s="10">
        <f t="shared" si="2"/>
        <v>0</v>
      </c>
      <c r="E48" s="10">
        <f t="shared" si="3"/>
        <v>0</v>
      </c>
      <c r="W48" t="str">
        <f>IFERROR(MID(Проливка[[#This Row],[Штрихкод ]],1,FIND("-",Проливка[[#This Row],[Штрихкод ]],1)-1)," ")</f>
        <v xml:space="preserve"> </v>
      </c>
      <c r="X48" t="str">
        <f>IFERROR(RIGHT(Проливка[[#This Row],[Штрихкод ]],LEN(Проливка[[#This Row],[Штрихкод ]])-SEARCH("-",Проливка[[#This Row],[Штрихкод ]],1))," ")</f>
        <v xml:space="preserve"> </v>
      </c>
      <c r="Y48">
        <f>IFERROR(VLOOKUP(Проливка[[#This Row],[ID]]*1,'Срок хранения'!A48:B146,2,0),0)</f>
        <v>0</v>
      </c>
      <c r="Z48">
        <f>IFERROR(VLOOKUP(Проливка[[#This Row],[ID]]*1,'Срок хранения'!A48:C146,3,0),0)</f>
        <v>0</v>
      </c>
    </row>
    <row r="49" spans="1:26" x14ac:dyDescent="0.25">
      <c r="A49" s="9"/>
      <c r="B49" s="12" t="str">
        <f t="shared" si="1"/>
        <v xml:space="preserve"> </v>
      </c>
      <c r="C49" s="10" t="str">
        <f t="shared" si="0"/>
        <v xml:space="preserve"> </v>
      </c>
      <c r="D49" s="10">
        <f t="shared" si="2"/>
        <v>0</v>
      </c>
      <c r="E49" s="10">
        <f t="shared" si="3"/>
        <v>0</v>
      </c>
      <c r="W49" t="str">
        <f>IFERROR(MID(Проливка[[#This Row],[Штрихкод ]],1,FIND("-",Проливка[[#This Row],[Штрихкод ]],1)-1)," ")</f>
        <v xml:space="preserve"> </v>
      </c>
      <c r="X49" t="str">
        <f>IFERROR(RIGHT(Проливка[[#This Row],[Штрихкод ]],LEN(Проливка[[#This Row],[Штрихкод ]])-SEARCH("-",Проливка[[#This Row],[Штрихкод ]],1))," ")</f>
        <v xml:space="preserve"> </v>
      </c>
      <c r="Y49">
        <f>IFERROR(VLOOKUP(Проливка[[#This Row],[ID]]*1,'Срок хранения'!A49:B147,2,0),0)</f>
        <v>0</v>
      </c>
      <c r="Z49">
        <f>IFERROR(VLOOKUP(Проливка[[#This Row],[ID]]*1,'Срок хранения'!A49:C147,3,0),0)</f>
        <v>0</v>
      </c>
    </row>
    <row r="50" spans="1:26" x14ac:dyDescent="0.25">
      <c r="A50" s="9"/>
      <c r="B50" s="12" t="str">
        <f t="shared" si="1"/>
        <v xml:space="preserve"> </v>
      </c>
      <c r="C50" s="10" t="str">
        <f t="shared" si="0"/>
        <v xml:space="preserve"> </v>
      </c>
      <c r="D50" s="10">
        <f t="shared" si="2"/>
        <v>0</v>
      </c>
      <c r="E50" s="10">
        <f t="shared" si="3"/>
        <v>0</v>
      </c>
      <c r="W50" t="str">
        <f>IFERROR(MID(Проливка[[#This Row],[Штрихкод ]],1,FIND("-",Проливка[[#This Row],[Штрихкод ]],1)-1)," ")</f>
        <v xml:space="preserve"> </v>
      </c>
      <c r="X50" t="str">
        <f>IFERROR(RIGHT(Проливка[[#This Row],[Штрихкод ]],LEN(Проливка[[#This Row],[Штрихкод ]])-SEARCH("-",Проливка[[#This Row],[Штрихкод ]],1))," ")</f>
        <v xml:space="preserve"> </v>
      </c>
      <c r="Y50">
        <f>IFERROR(VLOOKUP(Проливка[[#This Row],[ID]]*1,'Срок хранения'!A50:B148,2,0),0)</f>
        <v>0</v>
      </c>
      <c r="Z50">
        <f>IFERROR(VLOOKUP(Проливка[[#This Row],[ID]]*1,'Срок хранения'!A50:C148,3,0),0)</f>
        <v>0</v>
      </c>
    </row>
    <row r="51" spans="1:26" x14ac:dyDescent="0.25">
      <c r="A51" s="9"/>
      <c r="B51" s="12" t="str">
        <f t="shared" si="1"/>
        <v xml:space="preserve"> </v>
      </c>
      <c r="C51" s="10" t="str">
        <f t="shared" si="0"/>
        <v xml:space="preserve"> </v>
      </c>
      <c r="D51" s="10">
        <f t="shared" si="2"/>
        <v>0</v>
      </c>
      <c r="E51" s="10">
        <f t="shared" si="3"/>
        <v>0</v>
      </c>
      <c r="W51" t="str">
        <f>IFERROR(MID(Проливка[[#This Row],[Штрихкод ]],1,FIND("-",Проливка[[#This Row],[Штрихкод ]],1)-1)," ")</f>
        <v xml:space="preserve"> </v>
      </c>
      <c r="X51" t="str">
        <f>IFERROR(RIGHT(Проливка[[#This Row],[Штрихкод ]],LEN(Проливка[[#This Row],[Штрихкод ]])-SEARCH("-",Проливка[[#This Row],[Штрихкод ]],1))," ")</f>
        <v xml:space="preserve"> </v>
      </c>
      <c r="Y51">
        <f>IFERROR(VLOOKUP(Проливка[[#This Row],[ID]]*1,'Срок хранения'!A51:B149,2,0),0)</f>
        <v>0</v>
      </c>
      <c r="Z51">
        <f>IFERROR(VLOOKUP(Проливка[[#This Row],[ID]]*1,'Срок хранения'!A51:C149,3,0),0)</f>
        <v>0</v>
      </c>
    </row>
    <row r="52" spans="1:26" x14ac:dyDescent="0.25">
      <c r="A52" s="9"/>
      <c r="B52" s="12" t="str">
        <f t="shared" si="1"/>
        <v xml:space="preserve"> </v>
      </c>
      <c r="C52" s="10" t="str">
        <f t="shared" si="0"/>
        <v xml:space="preserve"> </v>
      </c>
      <c r="D52" s="10">
        <f t="shared" si="2"/>
        <v>0</v>
      </c>
      <c r="E52" s="10">
        <f t="shared" si="3"/>
        <v>0</v>
      </c>
      <c r="W52" t="str">
        <f>IFERROR(MID(Проливка[[#This Row],[Штрихкод ]],1,FIND("-",Проливка[[#This Row],[Штрихкод ]],1)-1)," ")</f>
        <v xml:space="preserve"> </v>
      </c>
      <c r="X52" t="str">
        <f>IFERROR(RIGHT(Проливка[[#This Row],[Штрихкод ]],LEN(Проливка[[#This Row],[Штрихкод ]])-SEARCH("-",Проливка[[#This Row],[Штрихкод ]],1))," ")</f>
        <v xml:space="preserve"> </v>
      </c>
      <c r="Y52">
        <f>IFERROR(VLOOKUP(Проливка[[#This Row],[ID]]*1,'Срок хранения'!A52:B150,2,0),0)</f>
        <v>0</v>
      </c>
      <c r="Z52">
        <f>IFERROR(VLOOKUP(Проливка[[#This Row],[ID]]*1,'Срок хранения'!A52:C150,3,0),0)</f>
        <v>0</v>
      </c>
    </row>
    <row r="53" spans="1:26" x14ac:dyDescent="0.25">
      <c r="A53" s="9"/>
      <c r="B53" s="12" t="str">
        <f t="shared" si="1"/>
        <v xml:space="preserve"> </v>
      </c>
      <c r="C53" s="10" t="str">
        <f t="shared" si="0"/>
        <v xml:space="preserve"> </v>
      </c>
      <c r="D53" s="10">
        <f t="shared" si="2"/>
        <v>0</v>
      </c>
      <c r="E53" s="10">
        <f t="shared" si="3"/>
        <v>0</v>
      </c>
      <c r="W53" t="str">
        <f>IFERROR(MID(Проливка[[#This Row],[Штрихкод ]],1,FIND("-",Проливка[[#This Row],[Штрихкод ]],1)-1)," ")</f>
        <v xml:space="preserve"> </v>
      </c>
      <c r="X53" t="str">
        <f>IFERROR(RIGHT(Проливка[[#This Row],[Штрихкод ]],LEN(Проливка[[#This Row],[Штрихкод ]])-SEARCH("-",Проливка[[#This Row],[Штрихкод ]],1))," ")</f>
        <v xml:space="preserve"> </v>
      </c>
      <c r="Y53">
        <f>IFERROR(VLOOKUP(Проливка[[#This Row],[ID]]*1,'Срок хранения'!A53:B151,2,0),0)</f>
        <v>0</v>
      </c>
      <c r="Z53">
        <f>IFERROR(VLOOKUP(Проливка[[#This Row],[ID]]*1,'Срок хранения'!A53:C151,3,0),0)</f>
        <v>0</v>
      </c>
    </row>
    <row r="54" spans="1:26" x14ac:dyDescent="0.25">
      <c r="A54" s="9"/>
      <c r="B54" s="12" t="str">
        <f t="shared" si="1"/>
        <v xml:space="preserve"> </v>
      </c>
      <c r="C54" s="10" t="str">
        <f t="shared" si="0"/>
        <v xml:space="preserve"> </v>
      </c>
      <c r="D54" s="10">
        <f t="shared" si="2"/>
        <v>0</v>
      </c>
      <c r="E54" s="10">
        <f t="shared" si="3"/>
        <v>0</v>
      </c>
      <c r="W54" t="str">
        <f>IFERROR(MID(Проливка[[#This Row],[Штрихкод ]],1,FIND("-",Проливка[[#This Row],[Штрихкод ]],1)-1)," ")</f>
        <v xml:space="preserve"> </v>
      </c>
      <c r="X54" t="str">
        <f>IFERROR(RIGHT(Проливка[[#This Row],[Штрихкод ]],LEN(Проливка[[#This Row],[Штрихкод ]])-SEARCH("-",Проливка[[#This Row],[Штрихкод ]],1))," ")</f>
        <v xml:space="preserve"> </v>
      </c>
      <c r="Y54">
        <f>IFERROR(VLOOKUP(Проливка[[#This Row],[ID]]*1,'Срок хранения'!A54:B152,2,0),0)</f>
        <v>0</v>
      </c>
      <c r="Z54">
        <f>IFERROR(VLOOKUP(Проливка[[#This Row],[ID]]*1,'Срок хранения'!A54:C152,3,0),0)</f>
        <v>0</v>
      </c>
    </row>
    <row r="55" spans="1:26" x14ac:dyDescent="0.25">
      <c r="A55" s="9"/>
      <c r="B55" s="12" t="str">
        <f t="shared" si="1"/>
        <v xml:space="preserve"> </v>
      </c>
      <c r="C55" s="10" t="str">
        <f t="shared" si="0"/>
        <v xml:space="preserve"> </v>
      </c>
      <c r="D55" s="10">
        <f t="shared" si="2"/>
        <v>0</v>
      </c>
      <c r="E55" s="10">
        <f t="shared" si="3"/>
        <v>0</v>
      </c>
      <c r="W55" t="str">
        <f>IFERROR(MID(Проливка[[#This Row],[Штрихкод ]],1,FIND("-",Проливка[[#This Row],[Штрихкод ]],1)-1)," ")</f>
        <v xml:space="preserve"> </v>
      </c>
      <c r="X55" t="str">
        <f>IFERROR(RIGHT(Проливка[[#This Row],[Штрихкод ]],LEN(Проливка[[#This Row],[Штрихкод ]])-SEARCH("-",Проливка[[#This Row],[Штрихкод ]],1))," ")</f>
        <v xml:space="preserve"> </v>
      </c>
      <c r="Y55">
        <f>IFERROR(VLOOKUP(Проливка[[#This Row],[ID]]*1,'Срок хранения'!A55:B153,2,0),0)</f>
        <v>0</v>
      </c>
      <c r="Z55">
        <f>IFERROR(VLOOKUP(Проливка[[#This Row],[ID]]*1,'Срок хранения'!A55:C153,3,0),0)</f>
        <v>0</v>
      </c>
    </row>
    <row r="56" spans="1:26" x14ac:dyDescent="0.25">
      <c r="A56" s="9"/>
      <c r="B56" s="12" t="str">
        <f t="shared" si="1"/>
        <v xml:space="preserve"> </v>
      </c>
      <c r="C56" s="10" t="str">
        <f t="shared" si="0"/>
        <v xml:space="preserve"> </v>
      </c>
      <c r="D56" s="10">
        <f t="shared" si="2"/>
        <v>0</v>
      </c>
      <c r="E56" s="10">
        <f t="shared" si="3"/>
        <v>0</v>
      </c>
      <c r="W56" t="str">
        <f>IFERROR(MID(Проливка[[#This Row],[Штрихкод ]],1,FIND("-",Проливка[[#This Row],[Штрихкод ]],1)-1)," ")</f>
        <v xml:space="preserve"> </v>
      </c>
      <c r="X56" t="str">
        <f>IFERROR(RIGHT(Проливка[[#This Row],[Штрихкод ]],LEN(Проливка[[#This Row],[Штрихкод ]])-SEARCH("-",Проливка[[#This Row],[Штрихкод ]],1))," ")</f>
        <v xml:space="preserve"> </v>
      </c>
      <c r="Y56">
        <f>IFERROR(VLOOKUP(Проливка[[#This Row],[ID]]*1,'Срок хранения'!A56:B154,2,0),0)</f>
        <v>0</v>
      </c>
      <c r="Z56">
        <f>IFERROR(VLOOKUP(Проливка[[#This Row],[ID]]*1,'Срок хранения'!A56:C154,3,0),0)</f>
        <v>0</v>
      </c>
    </row>
    <row r="57" spans="1:26" x14ac:dyDescent="0.25">
      <c r="A57" s="9"/>
      <c r="B57" s="12" t="str">
        <f t="shared" si="1"/>
        <v xml:space="preserve"> </v>
      </c>
      <c r="C57" s="10" t="str">
        <f t="shared" si="0"/>
        <v xml:space="preserve"> </v>
      </c>
      <c r="D57" s="10">
        <f t="shared" si="2"/>
        <v>0</v>
      </c>
      <c r="E57" s="10">
        <f t="shared" si="3"/>
        <v>0</v>
      </c>
      <c r="W57" t="str">
        <f>IFERROR(MID(Проливка[[#This Row],[Штрихкод ]],1,FIND("-",Проливка[[#This Row],[Штрихкод ]],1)-1)," ")</f>
        <v xml:space="preserve"> </v>
      </c>
      <c r="X57" t="str">
        <f>IFERROR(RIGHT(Проливка[[#This Row],[Штрихкод ]],LEN(Проливка[[#This Row],[Штрихкод ]])-SEARCH("-",Проливка[[#This Row],[Штрихкод ]],1))," ")</f>
        <v xml:space="preserve"> </v>
      </c>
      <c r="Y57">
        <f>IFERROR(VLOOKUP(Проливка[[#This Row],[ID]]*1,'Срок хранения'!A57:B155,2,0),0)</f>
        <v>0</v>
      </c>
      <c r="Z57">
        <f>IFERROR(VLOOKUP(Проливка[[#This Row],[ID]]*1,'Срок хранения'!A57:C155,3,0),0)</f>
        <v>0</v>
      </c>
    </row>
    <row r="58" spans="1:26" x14ac:dyDescent="0.25">
      <c r="A58" s="9"/>
      <c r="B58" s="12" t="str">
        <f t="shared" si="1"/>
        <v xml:space="preserve"> </v>
      </c>
      <c r="C58" s="10" t="str">
        <f t="shared" si="0"/>
        <v xml:space="preserve"> </v>
      </c>
      <c r="D58" s="10">
        <f t="shared" si="2"/>
        <v>0</v>
      </c>
      <c r="E58" s="10">
        <f t="shared" si="3"/>
        <v>0</v>
      </c>
      <c r="W58" t="str">
        <f>IFERROR(MID(Проливка[[#This Row],[Штрихкод ]],1,FIND("-",Проливка[[#This Row],[Штрихкод ]],1)-1)," ")</f>
        <v xml:space="preserve"> </v>
      </c>
      <c r="X58" t="str">
        <f>IFERROR(RIGHT(Проливка[[#This Row],[Штрихкод ]],LEN(Проливка[[#This Row],[Штрихкод ]])-SEARCH("-",Проливка[[#This Row],[Штрихкод ]],1))," ")</f>
        <v xml:space="preserve"> </v>
      </c>
      <c r="Y58">
        <f>IFERROR(VLOOKUP(Проливка[[#This Row],[ID]]*1,'Срок хранения'!A58:B156,2,0),0)</f>
        <v>0</v>
      </c>
      <c r="Z58">
        <f>IFERROR(VLOOKUP(Проливка[[#This Row],[ID]]*1,'Срок хранения'!A58:C156,3,0),0)</f>
        <v>0</v>
      </c>
    </row>
    <row r="59" spans="1:26" x14ac:dyDescent="0.25">
      <c r="A59" s="9"/>
      <c r="B59" s="12" t="str">
        <f t="shared" si="1"/>
        <v xml:space="preserve"> </v>
      </c>
      <c r="C59" s="10" t="str">
        <f t="shared" si="0"/>
        <v xml:space="preserve"> </v>
      </c>
      <c r="D59" s="10">
        <f t="shared" si="2"/>
        <v>0</v>
      </c>
      <c r="E59" s="10">
        <f t="shared" si="3"/>
        <v>0</v>
      </c>
      <c r="W59" t="str">
        <f>IFERROR(MID(Проливка[[#This Row],[Штрихкод ]],1,FIND("-",Проливка[[#This Row],[Штрихкод ]],1)-1)," ")</f>
        <v xml:space="preserve"> </v>
      </c>
      <c r="X59" t="str">
        <f>IFERROR(RIGHT(Проливка[[#This Row],[Штрихкод ]],LEN(Проливка[[#This Row],[Штрихкод ]])-SEARCH("-",Проливка[[#This Row],[Штрихкод ]],1))," ")</f>
        <v xml:space="preserve"> </v>
      </c>
      <c r="Y59">
        <f>IFERROR(VLOOKUP(Проливка[[#This Row],[ID]]*1,'Срок хранения'!A59:B157,2,0),0)</f>
        <v>0</v>
      </c>
      <c r="Z59">
        <f>IFERROR(VLOOKUP(Проливка[[#This Row],[ID]]*1,'Срок хранения'!A59:C157,3,0),0)</f>
        <v>0</v>
      </c>
    </row>
    <row r="60" spans="1:26" x14ac:dyDescent="0.25">
      <c r="A60" s="9"/>
      <c r="B60" s="12" t="str">
        <f t="shared" si="1"/>
        <v xml:space="preserve"> </v>
      </c>
      <c r="C60" s="10" t="str">
        <f t="shared" si="0"/>
        <v xml:space="preserve"> </v>
      </c>
      <c r="D60" s="10">
        <f t="shared" si="2"/>
        <v>0</v>
      </c>
      <c r="E60" s="10">
        <f t="shared" si="3"/>
        <v>0</v>
      </c>
      <c r="W60" t="str">
        <f>IFERROR(MID(Проливка[[#This Row],[Штрихкод ]],1,FIND("-",Проливка[[#This Row],[Штрихкод ]],1)-1)," ")</f>
        <v xml:space="preserve"> </v>
      </c>
      <c r="X60" t="str">
        <f>IFERROR(RIGHT(Проливка[[#This Row],[Штрихкод ]],LEN(Проливка[[#This Row],[Штрихкод ]])-SEARCH("-",Проливка[[#This Row],[Штрихкод ]],1))," ")</f>
        <v xml:space="preserve"> </v>
      </c>
      <c r="Y60">
        <f>IFERROR(VLOOKUP(Проливка[[#This Row],[ID]]*1,'Срок хранения'!A60:B158,2,0),0)</f>
        <v>0</v>
      </c>
      <c r="Z60">
        <f>IFERROR(VLOOKUP(Проливка[[#This Row],[ID]]*1,'Срок хранения'!A60:C158,3,0),0)</f>
        <v>0</v>
      </c>
    </row>
    <row r="61" spans="1:26" x14ac:dyDescent="0.25">
      <c r="A61" s="9"/>
      <c r="B61" s="12" t="str">
        <f t="shared" si="1"/>
        <v xml:space="preserve"> </v>
      </c>
      <c r="C61" s="10" t="str">
        <f t="shared" si="0"/>
        <v xml:space="preserve"> </v>
      </c>
      <c r="D61" s="10">
        <f t="shared" si="2"/>
        <v>0</v>
      </c>
      <c r="E61" s="10">
        <f t="shared" si="3"/>
        <v>0</v>
      </c>
      <c r="W61" t="str">
        <f>IFERROR(MID(Проливка[[#This Row],[Штрихкод ]],1,FIND("-",Проливка[[#This Row],[Штрихкод ]],1)-1)," ")</f>
        <v xml:space="preserve"> </v>
      </c>
      <c r="X61" t="str">
        <f>IFERROR(RIGHT(Проливка[[#This Row],[Штрихкод ]],LEN(Проливка[[#This Row],[Штрихкод ]])-SEARCH("-",Проливка[[#This Row],[Штрихкод ]],1))," ")</f>
        <v xml:space="preserve"> </v>
      </c>
      <c r="Y61">
        <f>IFERROR(VLOOKUP(Проливка[[#This Row],[ID]]*1,'Срок хранения'!A61:B159,2,0),0)</f>
        <v>0</v>
      </c>
      <c r="Z61">
        <f>IFERROR(VLOOKUP(Проливка[[#This Row],[ID]]*1,'Срок хранения'!A61:C159,3,0),0)</f>
        <v>0</v>
      </c>
    </row>
    <row r="62" spans="1:26" x14ac:dyDescent="0.25">
      <c r="A62" s="9"/>
      <c r="B62" s="12" t="str">
        <f t="shared" si="1"/>
        <v xml:space="preserve"> </v>
      </c>
      <c r="C62" s="10" t="str">
        <f t="shared" si="0"/>
        <v xml:space="preserve"> </v>
      </c>
      <c r="D62" s="10">
        <f t="shared" si="2"/>
        <v>0</v>
      </c>
      <c r="E62" s="10">
        <f t="shared" si="3"/>
        <v>0</v>
      </c>
      <c r="W62" t="str">
        <f>IFERROR(MID(Проливка[[#This Row],[Штрихкод ]],1,FIND("-",Проливка[[#This Row],[Штрихкод ]],1)-1)," ")</f>
        <v xml:space="preserve"> </v>
      </c>
      <c r="X62" t="str">
        <f>IFERROR(RIGHT(Проливка[[#This Row],[Штрихкод ]],LEN(Проливка[[#This Row],[Штрихкод ]])-SEARCH("-",Проливка[[#This Row],[Штрихкод ]],1))," ")</f>
        <v xml:space="preserve"> </v>
      </c>
      <c r="Y62">
        <f>IFERROR(VLOOKUP(Проливка[[#This Row],[ID]]*1,'Срок хранения'!A62:B160,2,0),0)</f>
        <v>0</v>
      </c>
      <c r="Z62">
        <f>IFERROR(VLOOKUP(Проливка[[#This Row],[ID]]*1,'Срок хранения'!A62:C160,3,0),0)</f>
        <v>0</v>
      </c>
    </row>
    <row r="63" spans="1:26" x14ac:dyDescent="0.25">
      <c r="A63" s="9"/>
      <c r="B63" s="12" t="str">
        <f t="shared" si="1"/>
        <v xml:space="preserve"> </v>
      </c>
      <c r="C63" s="10" t="str">
        <f t="shared" si="0"/>
        <v xml:space="preserve"> </v>
      </c>
      <c r="D63" s="10">
        <f t="shared" si="2"/>
        <v>0</v>
      </c>
      <c r="E63" s="10">
        <f t="shared" si="3"/>
        <v>0</v>
      </c>
      <c r="W63" t="str">
        <f>IFERROR(MID(Проливка[[#This Row],[Штрихкод ]],1,FIND("-",Проливка[[#This Row],[Штрихкод ]],1)-1)," ")</f>
        <v xml:space="preserve"> </v>
      </c>
      <c r="X63" t="str">
        <f>IFERROR(RIGHT(Проливка[[#This Row],[Штрихкод ]],LEN(Проливка[[#This Row],[Штрихкод ]])-SEARCH("-",Проливка[[#This Row],[Штрихкод ]],1))," ")</f>
        <v xml:space="preserve"> </v>
      </c>
      <c r="Y63">
        <f>IFERROR(VLOOKUP(Проливка[[#This Row],[ID]]*1,'Срок хранения'!A63:B161,2,0),0)</f>
        <v>0</v>
      </c>
      <c r="Z63">
        <f>IFERROR(VLOOKUP(Проливка[[#This Row],[ID]]*1,'Срок хранения'!A63:C161,3,0),0)</f>
        <v>0</v>
      </c>
    </row>
    <row r="64" spans="1:26" x14ac:dyDescent="0.25">
      <c r="A64" s="9"/>
      <c r="B64" s="12" t="str">
        <f t="shared" si="1"/>
        <v xml:space="preserve"> </v>
      </c>
      <c r="C64" s="10" t="str">
        <f t="shared" si="0"/>
        <v xml:space="preserve"> </v>
      </c>
      <c r="D64" s="10">
        <f t="shared" si="2"/>
        <v>0</v>
      </c>
      <c r="E64" s="10">
        <f t="shared" si="3"/>
        <v>0</v>
      </c>
      <c r="W64" t="str">
        <f>IFERROR(MID(Проливка[[#This Row],[Штрихкод ]],1,FIND("-",Проливка[[#This Row],[Штрихкод ]],1)-1)," ")</f>
        <v xml:space="preserve"> </v>
      </c>
      <c r="X64" t="str">
        <f>IFERROR(RIGHT(Проливка[[#This Row],[Штрихкод ]],LEN(Проливка[[#This Row],[Штрихкод ]])-SEARCH("-",Проливка[[#This Row],[Штрихкод ]],1))," ")</f>
        <v xml:space="preserve"> </v>
      </c>
      <c r="Y64">
        <f>IFERROR(VLOOKUP(Проливка[[#This Row],[ID]]*1,'Срок хранения'!A64:B162,2,0),0)</f>
        <v>0</v>
      </c>
      <c r="Z64">
        <f>IFERROR(VLOOKUP(Проливка[[#This Row],[ID]]*1,'Срок хранения'!A64:C162,3,0),0)</f>
        <v>0</v>
      </c>
    </row>
    <row r="65" spans="1:26" x14ac:dyDescent="0.25">
      <c r="A65" s="9"/>
      <c r="B65" s="12" t="str">
        <f t="shared" si="1"/>
        <v xml:space="preserve"> </v>
      </c>
      <c r="C65" s="10" t="str">
        <f t="shared" si="0"/>
        <v xml:space="preserve"> </v>
      </c>
      <c r="D65" s="10">
        <f t="shared" si="2"/>
        <v>0</v>
      </c>
      <c r="E65" s="10">
        <f t="shared" si="3"/>
        <v>0</v>
      </c>
      <c r="W65" t="str">
        <f>IFERROR(MID(Проливка[[#This Row],[Штрихкод ]],1,FIND("-",Проливка[[#This Row],[Штрихкод ]],1)-1)," ")</f>
        <v xml:space="preserve"> </v>
      </c>
      <c r="X65" t="str">
        <f>IFERROR(RIGHT(Проливка[[#This Row],[Штрихкод ]],LEN(Проливка[[#This Row],[Штрихкод ]])-SEARCH("-",Проливка[[#This Row],[Штрихкод ]],1))," ")</f>
        <v xml:space="preserve"> </v>
      </c>
      <c r="Y65">
        <f>IFERROR(VLOOKUP(Проливка[[#This Row],[ID]]*1,'Срок хранения'!A65:B163,2,0),0)</f>
        <v>0</v>
      </c>
      <c r="Z65">
        <f>IFERROR(VLOOKUP(Проливка[[#This Row],[ID]]*1,'Срок хранения'!A65:C163,3,0),0)</f>
        <v>0</v>
      </c>
    </row>
    <row r="66" spans="1:26" x14ac:dyDescent="0.25">
      <c r="A66" s="9"/>
      <c r="B66" s="12" t="str">
        <f t="shared" si="1"/>
        <v xml:space="preserve"> </v>
      </c>
      <c r="C66" s="10" t="str">
        <f t="shared" ref="C66:C129" si="4">X66</f>
        <v xml:space="preserve"> </v>
      </c>
      <c r="D66" s="10">
        <f t="shared" si="2"/>
        <v>0</v>
      </c>
      <c r="E66" s="10">
        <f t="shared" si="3"/>
        <v>0</v>
      </c>
      <c r="W66" t="str">
        <f>IFERROR(MID(Проливка[[#This Row],[Штрихкод ]],1,FIND("-",Проливка[[#This Row],[Штрихкод ]],1)-1)," ")</f>
        <v xml:space="preserve"> </v>
      </c>
      <c r="X66" t="str">
        <f>IFERROR(RIGHT(Проливка[[#This Row],[Штрихкод ]],LEN(Проливка[[#This Row],[Штрихкод ]])-SEARCH("-",Проливка[[#This Row],[Штрихкод ]],1))," ")</f>
        <v xml:space="preserve"> </v>
      </c>
      <c r="Y66">
        <f>IFERROR(VLOOKUP(Проливка[[#This Row],[ID]]*1,'Срок хранения'!A66:B164,2,0),0)</f>
        <v>0</v>
      </c>
      <c r="Z66">
        <f>IFERROR(VLOOKUP(Проливка[[#This Row],[ID]]*1,'Срок хранения'!A66:C164,3,0),0)</f>
        <v>0</v>
      </c>
    </row>
    <row r="67" spans="1:26" x14ac:dyDescent="0.25">
      <c r="A67" s="9"/>
      <c r="B67" s="12" t="str">
        <f t="shared" ref="B67:B130" si="5">W67</f>
        <v xml:space="preserve"> </v>
      </c>
      <c r="C67" s="10" t="str">
        <f t="shared" si="4"/>
        <v xml:space="preserve"> </v>
      </c>
      <c r="D67" s="10">
        <f t="shared" ref="D67:D130" si="6">Y67</f>
        <v>0</v>
      </c>
      <c r="E67" s="10">
        <f t="shared" ref="E67:E130" si="7">Z67</f>
        <v>0</v>
      </c>
      <c r="W67" t="str">
        <f>IFERROR(MID(Проливка[[#This Row],[Штрихкод ]],1,FIND("-",Проливка[[#This Row],[Штрихкод ]],1)-1)," ")</f>
        <v xml:space="preserve"> </v>
      </c>
      <c r="X67" t="str">
        <f>IFERROR(RIGHT(Проливка[[#This Row],[Штрихкод ]],LEN(Проливка[[#This Row],[Штрихкод ]])-SEARCH("-",Проливка[[#This Row],[Штрихкод ]],1))," ")</f>
        <v xml:space="preserve"> </v>
      </c>
      <c r="Y67">
        <f>IFERROR(VLOOKUP(Проливка[[#This Row],[ID]]*1,'Срок хранения'!A67:B165,2,0),0)</f>
        <v>0</v>
      </c>
      <c r="Z67">
        <f>IFERROR(VLOOKUP(Проливка[[#This Row],[ID]]*1,'Срок хранения'!A67:C165,3,0),0)</f>
        <v>0</v>
      </c>
    </row>
    <row r="68" spans="1:26" x14ac:dyDescent="0.25">
      <c r="A68" s="9"/>
      <c r="B68" s="12" t="str">
        <f t="shared" si="5"/>
        <v xml:space="preserve"> </v>
      </c>
      <c r="C68" s="10" t="str">
        <f t="shared" si="4"/>
        <v xml:space="preserve"> </v>
      </c>
      <c r="D68" s="10">
        <f t="shared" si="6"/>
        <v>0</v>
      </c>
      <c r="E68" s="10">
        <f t="shared" si="7"/>
        <v>0</v>
      </c>
      <c r="W68" t="str">
        <f>IFERROR(MID(Проливка[[#This Row],[Штрихкод ]],1,FIND("-",Проливка[[#This Row],[Штрихкод ]],1)-1)," ")</f>
        <v xml:space="preserve"> </v>
      </c>
      <c r="X68" t="str">
        <f>IFERROR(RIGHT(Проливка[[#This Row],[Штрихкод ]],LEN(Проливка[[#This Row],[Штрихкод ]])-SEARCH("-",Проливка[[#This Row],[Штрихкод ]],1))," ")</f>
        <v xml:space="preserve"> </v>
      </c>
      <c r="Y68">
        <f>IFERROR(VLOOKUP(Проливка[[#This Row],[ID]]*1,'Срок хранения'!A68:B166,2,0),0)</f>
        <v>0</v>
      </c>
      <c r="Z68">
        <f>IFERROR(VLOOKUP(Проливка[[#This Row],[ID]]*1,'Срок хранения'!A68:C166,3,0),0)</f>
        <v>0</v>
      </c>
    </row>
    <row r="69" spans="1:26" x14ac:dyDescent="0.25">
      <c r="A69" s="9"/>
      <c r="B69" s="12" t="str">
        <f t="shared" si="5"/>
        <v xml:space="preserve"> </v>
      </c>
      <c r="C69" s="10" t="str">
        <f t="shared" si="4"/>
        <v xml:space="preserve"> </v>
      </c>
      <c r="D69" s="10">
        <f t="shared" si="6"/>
        <v>0</v>
      </c>
      <c r="E69" s="10">
        <f t="shared" si="7"/>
        <v>0</v>
      </c>
      <c r="W69" t="str">
        <f>IFERROR(MID(Проливка[[#This Row],[Штрихкод ]],1,FIND("-",Проливка[[#This Row],[Штрихкод ]],1)-1)," ")</f>
        <v xml:space="preserve"> </v>
      </c>
      <c r="X69" t="str">
        <f>IFERROR(RIGHT(Проливка[[#This Row],[Штрихкод ]],LEN(Проливка[[#This Row],[Штрихкод ]])-SEARCH("-",Проливка[[#This Row],[Штрихкод ]],1))," ")</f>
        <v xml:space="preserve"> </v>
      </c>
      <c r="Y69">
        <f>IFERROR(VLOOKUP(Проливка[[#This Row],[ID]]*1,'Срок хранения'!A69:B167,2,0),0)</f>
        <v>0</v>
      </c>
      <c r="Z69">
        <f>IFERROR(VLOOKUP(Проливка[[#This Row],[ID]]*1,'Срок хранения'!A69:C167,3,0),0)</f>
        <v>0</v>
      </c>
    </row>
    <row r="70" spans="1:26" x14ac:dyDescent="0.25">
      <c r="A70" s="9"/>
      <c r="B70" s="12" t="str">
        <f t="shared" si="5"/>
        <v xml:space="preserve"> </v>
      </c>
      <c r="C70" s="10" t="str">
        <f t="shared" si="4"/>
        <v xml:space="preserve"> </v>
      </c>
      <c r="D70" s="10">
        <f t="shared" si="6"/>
        <v>0</v>
      </c>
      <c r="E70" s="10">
        <f t="shared" si="7"/>
        <v>0</v>
      </c>
      <c r="W70" t="str">
        <f>IFERROR(MID(Проливка[[#This Row],[Штрихкод ]],1,FIND("-",Проливка[[#This Row],[Штрихкод ]],1)-1)," ")</f>
        <v xml:space="preserve"> </v>
      </c>
      <c r="X70" t="str">
        <f>IFERROR(RIGHT(Проливка[[#This Row],[Штрихкод ]],LEN(Проливка[[#This Row],[Штрихкод ]])-SEARCH("-",Проливка[[#This Row],[Штрихкод ]],1))," ")</f>
        <v xml:space="preserve"> </v>
      </c>
      <c r="Y70">
        <f>IFERROR(VLOOKUP(Проливка[[#This Row],[ID]]*1,'Срок хранения'!A70:B168,2,0),0)</f>
        <v>0</v>
      </c>
      <c r="Z70">
        <f>IFERROR(VLOOKUP(Проливка[[#This Row],[ID]]*1,'Срок хранения'!A70:C168,3,0),0)</f>
        <v>0</v>
      </c>
    </row>
    <row r="71" spans="1:26" x14ac:dyDescent="0.25">
      <c r="A71" s="9"/>
      <c r="B71" s="12" t="str">
        <f t="shared" si="5"/>
        <v xml:space="preserve"> </v>
      </c>
      <c r="C71" s="10" t="str">
        <f t="shared" si="4"/>
        <v xml:space="preserve"> </v>
      </c>
      <c r="D71" s="10">
        <f t="shared" si="6"/>
        <v>0</v>
      </c>
      <c r="E71" s="10">
        <f t="shared" si="7"/>
        <v>0</v>
      </c>
      <c r="W71" t="str">
        <f>IFERROR(MID(Проливка[[#This Row],[Штрихкод ]],1,FIND("-",Проливка[[#This Row],[Штрихкод ]],1)-1)," ")</f>
        <v xml:space="preserve"> </v>
      </c>
      <c r="X71" t="str">
        <f>IFERROR(RIGHT(Проливка[[#This Row],[Штрихкод ]],LEN(Проливка[[#This Row],[Штрихкод ]])-SEARCH("-",Проливка[[#This Row],[Штрихкод ]],1))," ")</f>
        <v xml:space="preserve"> </v>
      </c>
      <c r="Y71">
        <f>IFERROR(VLOOKUP(Проливка[[#This Row],[ID]]*1,'Срок хранения'!A71:B169,2,0),0)</f>
        <v>0</v>
      </c>
      <c r="Z71">
        <f>IFERROR(VLOOKUP(Проливка[[#This Row],[ID]]*1,'Срок хранения'!A71:C169,3,0),0)</f>
        <v>0</v>
      </c>
    </row>
    <row r="72" spans="1:26" x14ac:dyDescent="0.25">
      <c r="A72" s="9"/>
      <c r="B72" s="12" t="str">
        <f t="shared" si="5"/>
        <v xml:space="preserve"> </v>
      </c>
      <c r="C72" s="10" t="str">
        <f t="shared" si="4"/>
        <v xml:space="preserve"> </v>
      </c>
      <c r="D72" s="10">
        <f t="shared" si="6"/>
        <v>0</v>
      </c>
      <c r="E72" s="10">
        <f t="shared" si="7"/>
        <v>0</v>
      </c>
      <c r="W72" t="str">
        <f>IFERROR(MID(Проливка[[#This Row],[Штрихкод ]],1,FIND("-",Проливка[[#This Row],[Штрихкод ]],1)-1)," ")</f>
        <v xml:space="preserve"> </v>
      </c>
      <c r="X72" t="str">
        <f>IFERROR(RIGHT(Проливка[[#This Row],[Штрихкод ]],LEN(Проливка[[#This Row],[Штрихкод ]])-SEARCH("-",Проливка[[#This Row],[Штрихкод ]],1))," ")</f>
        <v xml:space="preserve"> </v>
      </c>
      <c r="Y72">
        <f>IFERROR(VLOOKUP(Проливка[[#This Row],[ID]]*1,'Срок хранения'!A72:B170,2,0),0)</f>
        <v>0</v>
      </c>
      <c r="Z72">
        <f>IFERROR(VLOOKUP(Проливка[[#This Row],[ID]]*1,'Срок хранения'!A72:C170,3,0),0)</f>
        <v>0</v>
      </c>
    </row>
    <row r="73" spans="1:26" x14ac:dyDescent="0.25">
      <c r="A73" s="9"/>
      <c r="B73" s="12" t="str">
        <f t="shared" si="5"/>
        <v xml:space="preserve"> </v>
      </c>
      <c r="C73" s="10" t="str">
        <f t="shared" si="4"/>
        <v xml:space="preserve"> </v>
      </c>
      <c r="D73" s="10">
        <f t="shared" si="6"/>
        <v>0</v>
      </c>
      <c r="E73" s="10">
        <f t="shared" si="7"/>
        <v>0</v>
      </c>
      <c r="W73" t="str">
        <f>IFERROR(MID(Проливка[[#This Row],[Штрихкод ]],1,FIND("-",Проливка[[#This Row],[Штрихкод ]],1)-1)," ")</f>
        <v xml:space="preserve"> </v>
      </c>
      <c r="X73" t="str">
        <f>IFERROR(RIGHT(Проливка[[#This Row],[Штрихкод ]],LEN(Проливка[[#This Row],[Штрихкод ]])-SEARCH("-",Проливка[[#This Row],[Штрихкод ]],1))," ")</f>
        <v xml:space="preserve"> </v>
      </c>
      <c r="Y73">
        <f>IFERROR(VLOOKUP(Проливка[[#This Row],[ID]]*1,'Срок хранения'!A73:B171,2,0),0)</f>
        <v>0</v>
      </c>
      <c r="Z73">
        <f>IFERROR(VLOOKUP(Проливка[[#This Row],[ID]]*1,'Срок хранения'!A73:C171,3,0),0)</f>
        <v>0</v>
      </c>
    </row>
    <row r="74" spans="1:26" x14ac:dyDescent="0.25">
      <c r="A74" s="9"/>
      <c r="B74" s="12" t="str">
        <f t="shared" si="5"/>
        <v xml:space="preserve"> </v>
      </c>
      <c r="C74" s="10" t="str">
        <f t="shared" si="4"/>
        <v xml:space="preserve"> </v>
      </c>
      <c r="D74" s="10">
        <f t="shared" si="6"/>
        <v>0</v>
      </c>
      <c r="E74" s="10">
        <f t="shared" si="7"/>
        <v>0</v>
      </c>
      <c r="W74" t="str">
        <f>IFERROR(MID(Проливка[[#This Row],[Штрихкод ]],1,FIND("-",Проливка[[#This Row],[Штрихкод ]],1)-1)," ")</f>
        <v xml:space="preserve"> </v>
      </c>
      <c r="X74" t="str">
        <f>IFERROR(RIGHT(Проливка[[#This Row],[Штрихкод ]],LEN(Проливка[[#This Row],[Штрихкод ]])-SEARCH("-",Проливка[[#This Row],[Штрихкод ]],1))," ")</f>
        <v xml:space="preserve"> </v>
      </c>
      <c r="Y74">
        <f>IFERROR(VLOOKUP(Проливка[[#This Row],[ID]]*1,'Срок хранения'!A74:B172,2,0),0)</f>
        <v>0</v>
      </c>
      <c r="Z74">
        <f>IFERROR(VLOOKUP(Проливка[[#This Row],[ID]]*1,'Срок хранения'!A74:C172,3,0),0)</f>
        <v>0</v>
      </c>
    </row>
    <row r="75" spans="1:26" x14ac:dyDescent="0.25">
      <c r="A75" s="9"/>
      <c r="B75" s="12" t="str">
        <f t="shared" si="5"/>
        <v xml:space="preserve"> </v>
      </c>
      <c r="C75" s="10" t="str">
        <f t="shared" si="4"/>
        <v xml:space="preserve"> </v>
      </c>
      <c r="D75" s="10">
        <f t="shared" si="6"/>
        <v>0</v>
      </c>
      <c r="E75" s="10">
        <f t="shared" si="7"/>
        <v>0</v>
      </c>
      <c r="W75" t="str">
        <f>IFERROR(MID(Проливка[[#This Row],[Штрихкод ]],1,FIND("-",Проливка[[#This Row],[Штрихкод ]],1)-1)," ")</f>
        <v xml:space="preserve"> </v>
      </c>
      <c r="X75" t="str">
        <f>IFERROR(RIGHT(Проливка[[#This Row],[Штрихкод ]],LEN(Проливка[[#This Row],[Штрихкод ]])-SEARCH("-",Проливка[[#This Row],[Штрихкод ]],1))," ")</f>
        <v xml:space="preserve"> </v>
      </c>
      <c r="Y75">
        <f>IFERROR(VLOOKUP(Проливка[[#This Row],[ID]]*1,'Срок хранения'!A75:B173,2,0),0)</f>
        <v>0</v>
      </c>
      <c r="Z75">
        <f>IFERROR(VLOOKUP(Проливка[[#This Row],[ID]]*1,'Срок хранения'!A75:C173,3,0),0)</f>
        <v>0</v>
      </c>
    </row>
    <row r="76" spans="1:26" x14ac:dyDescent="0.25">
      <c r="A76" s="9"/>
      <c r="B76" s="12" t="str">
        <f t="shared" si="5"/>
        <v xml:space="preserve"> </v>
      </c>
      <c r="C76" s="10" t="str">
        <f t="shared" si="4"/>
        <v xml:space="preserve"> </v>
      </c>
      <c r="D76" s="10">
        <f t="shared" si="6"/>
        <v>0</v>
      </c>
      <c r="E76" s="10">
        <f t="shared" si="7"/>
        <v>0</v>
      </c>
      <c r="W76" t="str">
        <f>IFERROR(MID(Проливка[[#This Row],[Штрихкод ]],1,FIND("-",Проливка[[#This Row],[Штрихкод ]],1)-1)," ")</f>
        <v xml:space="preserve"> </v>
      </c>
      <c r="X76" t="str">
        <f>IFERROR(RIGHT(Проливка[[#This Row],[Штрихкод ]],LEN(Проливка[[#This Row],[Штрихкод ]])-SEARCH("-",Проливка[[#This Row],[Штрихкод ]],1))," ")</f>
        <v xml:space="preserve"> </v>
      </c>
      <c r="Y76">
        <f>IFERROR(VLOOKUP(Проливка[[#This Row],[ID]]*1,'Срок хранения'!A76:B174,2,0),0)</f>
        <v>0</v>
      </c>
      <c r="Z76">
        <f>IFERROR(VLOOKUP(Проливка[[#This Row],[ID]]*1,'Срок хранения'!A76:C174,3,0),0)</f>
        <v>0</v>
      </c>
    </row>
    <row r="77" spans="1:26" x14ac:dyDescent="0.25">
      <c r="A77" s="9"/>
      <c r="B77" s="12" t="str">
        <f t="shared" si="5"/>
        <v xml:space="preserve"> </v>
      </c>
      <c r="C77" s="10" t="str">
        <f t="shared" si="4"/>
        <v xml:space="preserve"> </v>
      </c>
      <c r="D77" s="10">
        <f t="shared" si="6"/>
        <v>0</v>
      </c>
      <c r="E77" s="10">
        <f t="shared" si="7"/>
        <v>0</v>
      </c>
      <c r="W77" t="str">
        <f>IFERROR(MID(Проливка[[#This Row],[Штрихкод ]],1,FIND("-",Проливка[[#This Row],[Штрихкод ]],1)-1)," ")</f>
        <v xml:space="preserve"> </v>
      </c>
      <c r="X77" t="str">
        <f>IFERROR(RIGHT(Проливка[[#This Row],[Штрихкод ]],LEN(Проливка[[#This Row],[Штрихкод ]])-SEARCH("-",Проливка[[#This Row],[Штрихкод ]],1))," ")</f>
        <v xml:space="preserve"> </v>
      </c>
      <c r="Y77">
        <f>IFERROR(VLOOKUP(Проливка[[#This Row],[ID]]*1,'Срок хранения'!A77:B175,2,0),0)</f>
        <v>0</v>
      </c>
      <c r="Z77">
        <f>IFERROR(VLOOKUP(Проливка[[#This Row],[ID]]*1,'Срок хранения'!A77:C175,3,0),0)</f>
        <v>0</v>
      </c>
    </row>
    <row r="78" spans="1:26" x14ac:dyDescent="0.25">
      <c r="A78" s="9"/>
      <c r="B78" s="12" t="str">
        <f t="shared" si="5"/>
        <v xml:space="preserve"> </v>
      </c>
      <c r="C78" s="10" t="str">
        <f t="shared" si="4"/>
        <v xml:space="preserve"> </v>
      </c>
      <c r="D78" s="10">
        <f t="shared" si="6"/>
        <v>0</v>
      </c>
      <c r="E78" s="10">
        <f t="shared" si="7"/>
        <v>0</v>
      </c>
      <c r="W78" t="str">
        <f>IFERROR(MID(Проливка[[#This Row],[Штрихкод ]],1,FIND("-",Проливка[[#This Row],[Штрихкод ]],1)-1)," ")</f>
        <v xml:space="preserve"> </v>
      </c>
      <c r="X78" t="str">
        <f>IFERROR(RIGHT(Проливка[[#This Row],[Штрихкод ]],LEN(Проливка[[#This Row],[Штрихкод ]])-SEARCH("-",Проливка[[#This Row],[Штрихкод ]],1))," ")</f>
        <v xml:space="preserve"> </v>
      </c>
      <c r="Y78">
        <f>IFERROR(VLOOKUP(Проливка[[#This Row],[ID]]*1,'Срок хранения'!A78:B176,2,0),0)</f>
        <v>0</v>
      </c>
      <c r="Z78">
        <f>IFERROR(VLOOKUP(Проливка[[#This Row],[ID]]*1,'Срок хранения'!A78:C176,3,0),0)</f>
        <v>0</v>
      </c>
    </row>
    <row r="79" spans="1:26" x14ac:dyDescent="0.25">
      <c r="A79" s="9"/>
      <c r="B79" s="12" t="str">
        <f t="shared" si="5"/>
        <v xml:space="preserve"> </v>
      </c>
      <c r="C79" s="10" t="str">
        <f t="shared" si="4"/>
        <v xml:space="preserve"> </v>
      </c>
      <c r="D79" s="10">
        <f t="shared" si="6"/>
        <v>0</v>
      </c>
      <c r="E79" s="10">
        <f t="shared" si="7"/>
        <v>0</v>
      </c>
      <c r="W79" t="str">
        <f>IFERROR(MID(Проливка[[#This Row],[Штрихкод ]],1,FIND("-",Проливка[[#This Row],[Штрихкод ]],1)-1)," ")</f>
        <v xml:space="preserve"> </v>
      </c>
      <c r="X79" t="str">
        <f>IFERROR(RIGHT(Проливка[[#This Row],[Штрихкод ]],LEN(Проливка[[#This Row],[Штрихкод ]])-SEARCH("-",Проливка[[#This Row],[Штрихкод ]],1))," ")</f>
        <v xml:space="preserve"> </v>
      </c>
      <c r="Y79">
        <f>IFERROR(VLOOKUP(Проливка[[#This Row],[ID]]*1,'Срок хранения'!A79:B177,2,0),0)</f>
        <v>0</v>
      </c>
      <c r="Z79">
        <f>IFERROR(VLOOKUP(Проливка[[#This Row],[ID]]*1,'Срок хранения'!A79:C177,3,0),0)</f>
        <v>0</v>
      </c>
    </row>
    <row r="80" spans="1:26" x14ac:dyDescent="0.25">
      <c r="A80" s="9"/>
      <c r="B80" s="12" t="str">
        <f t="shared" si="5"/>
        <v xml:space="preserve"> </v>
      </c>
      <c r="C80" s="10" t="str">
        <f t="shared" si="4"/>
        <v xml:space="preserve"> </v>
      </c>
      <c r="D80" s="10">
        <f t="shared" si="6"/>
        <v>0</v>
      </c>
      <c r="E80" s="10">
        <f t="shared" si="7"/>
        <v>0</v>
      </c>
      <c r="W80" t="str">
        <f>IFERROR(MID(Проливка[[#This Row],[Штрихкод ]],1,FIND("-",Проливка[[#This Row],[Штрихкод ]],1)-1)," ")</f>
        <v xml:space="preserve"> </v>
      </c>
      <c r="X80" t="str">
        <f>IFERROR(RIGHT(Проливка[[#This Row],[Штрихкод ]],LEN(Проливка[[#This Row],[Штрихкод ]])-SEARCH("-",Проливка[[#This Row],[Штрихкод ]],1))," ")</f>
        <v xml:space="preserve"> </v>
      </c>
      <c r="Y80">
        <f>IFERROR(VLOOKUP(Проливка[[#This Row],[ID]]*1,'Срок хранения'!A80:B178,2,0),0)</f>
        <v>0</v>
      </c>
      <c r="Z80">
        <f>IFERROR(VLOOKUP(Проливка[[#This Row],[ID]]*1,'Срок хранения'!A80:C178,3,0),0)</f>
        <v>0</v>
      </c>
    </row>
    <row r="81" spans="1:26" x14ac:dyDescent="0.25">
      <c r="A81" s="9"/>
      <c r="B81" s="12" t="str">
        <f t="shared" si="5"/>
        <v xml:space="preserve"> </v>
      </c>
      <c r="C81" s="10" t="str">
        <f t="shared" si="4"/>
        <v xml:space="preserve"> </v>
      </c>
      <c r="D81" s="10">
        <f t="shared" si="6"/>
        <v>0</v>
      </c>
      <c r="E81" s="10">
        <f t="shared" si="7"/>
        <v>0</v>
      </c>
      <c r="W81" t="str">
        <f>IFERROR(MID(Проливка[[#This Row],[Штрихкод ]],1,FIND("-",Проливка[[#This Row],[Штрихкод ]],1)-1)," ")</f>
        <v xml:space="preserve"> </v>
      </c>
      <c r="X81" t="str">
        <f>IFERROR(RIGHT(Проливка[[#This Row],[Штрихкод ]],LEN(Проливка[[#This Row],[Штрихкод ]])-SEARCH("-",Проливка[[#This Row],[Штрихкод ]],1))," ")</f>
        <v xml:space="preserve"> </v>
      </c>
      <c r="Y81">
        <f>IFERROR(VLOOKUP(Проливка[[#This Row],[ID]]*1,'Срок хранения'!A81:B179,2,0),0)</f>
        <v>0</v>
      </c>
      <c r="Z81">
        <f>IFERROR(VLOOKUP(Проливка[[#This Row],[ID]]*1,'Срок хранения'!A81:C179,3,0),0)</f>
        <v>0</v>
      </c>
    </row>
    <row r="82" spans="1:26" x14ac:dyDescent="0.25">
      <c r="A82" s="9"/>
      <c r="B82" s="12" t="str">
        <f t="shared" si="5"/>
        <v xml:space="preserve"> </v>
      </c>
      <c r="C82" s="10" t="str">
        <f t="shared" si="4"/>
        <v xml:space="preserve"> </v>
      </c>
      <c r="D82" s="10">
        <f t="shared" si="6"/>
        <v>0</v>
      </c>
      <c r="E82" s="10">
        <f t="shared" si="7"/>
        <v>0</v>
      </c>
      <c r="W82" t="str">
        <f>IFERROR(MID(Проливка[[#This Row],[Штрихкод ]],1,FIND("-",Проливка[[#This Row],[Штрихкод ]],1)-1)," ")</f>
        <v xml:space="preserve"> </v>
      </c>
      <c r="X82" t="str">
        <f>IFERROR(RIGHT(Проливка[[#This Row],[Штрихкод ]],LEN(Проливка[[#This Row],[Штрихкод ]])-SEARCH("-",Проливка[[#This Row],[Штрихкод ]],1))," ")</f>
        <v xml:space="preserve"> </v>
      </c>
      <c r="Y82">
        <f>IFERROR(VLOOKUP(Проливка[[#This Row],[ID]]*1,'Срок хранения'!A82:B180,2,0),0)</f>
        <v>0</v>
      </c>
      <c r="Z82">
        <f>IFERROR(VLOOKUP(Проливка[[#This Row],[ID]]*1,'Срок хранения'!A82:C180,3,0),0)</f>
        <v>0</v>
      </c>
    </row>
    <row r="83" spans="1:26" x14ac:dyDescent="0.25">
      <c r="A83" s="9"/>
      <c r="B83" s="12" t="str">
        <f t="shared" si="5"/>
        <v xml:space="preserve"> </v>
      </c>
      <c r="C83" s="10" t="str">
        <f t="shared" si="4"/>
        <v xml:space="preserve"> </v>
      </c>
      <c r="D83" s="10">
        <f t="shared" si="6"/>
        <v>0</v>
      </c>
      <c r="E83" s="10">
        <f t="shared" si="7"/>
        <v>0</v>
      </c>
      <c r="W83" t="str">
        <f>IFERROR(MID(Проливка[[#This Row],[Штрихкод ]],1,FIND("-",Проливка[[#This Row],[Штрихкод ]],1)-1)," ")</f>
        <v xml:space="preserve"> </v>
      </c>
      <c r="X83" t="str">
        <f>IFERROR(RIGHT(Проливка[[#This Row],[Штрихкод ]],LEN(Проливка[[#This Row],[Штрихкод ]])-SEARCH("-",Проливка[[#This Row],[Штрихкод ]],1))," ")</f>
        <v xml:space="preserve"> </v>
      </c>
      <c r="Y83">
        <f>IFERROR(VLOOKUP(Проливка[[#This Row],[ID]]*1,'Срок хранения'!A83:B181,2,0),0)</f>
        <v>0</v>
      </c>
      <c r="Z83">
        <f>IFERROR(VLOOKUP(Проливка[[#This Row],[ID]]*1,'Срок хранения'!A83:C181,3,0),0)</f>
        <v>0</v>
      </c>
    </row>
    <row r="84" spans="1:26" x14ac:dyDescent="0.25">
      <c r="A84" s="9"/>
      <c r="B84" s="12" t="str">
        <f t="shared" si="5"/>
        <v xml:space="preserve"> </v>
      </c>
      <c r="C84" s="10" t="str">
        <f t="shared" si="4"/>
        <v xml:space="preserve"> </v>
      </c>
      <c r="D84" s="10">
        <f t="shared" si="6"/>
        <v>0</v>
      </c>
      <c r="E84" s="10">
        <f t="shared" si="7"/>
        <v>0</v>
      </c>
      <c r="W84" t="str">
        <f>IFERROR(MID(Проливка[[#This Row],[Штрихкод ]],1,FIND("-",Проливка[[#This Row],[Штрихкод ]],1)-1)," ")</f>
        <v xml:space="preserve"> </v>
      </c>
      <c r="X84" t="str">
        <f>IFERROR(RIGHT(Проливка[[#This Row],[Штрихкод ]],LEN(Проливка[[#This Row],[Штрихкод ]])-SEARCH("-",Проливка[[#This Row],[Штрихкод ]],1))," ")</f>
        <v xml:space="preserve"> </v>
      </c>
      <c r="Y84">
        <f>IFERROR(VLOOKUP(Проливка[[#This Row],[ID]]*1,'Срок хранения'!A84:B182,2,0),0)</f>
        <v>0</v>
      </c>
      <c r="Z84">
        <f>IFERROR(VLOOKUP(Проливка[[#This Row],[ID]]*1,'Срок хранения'!A84:C182,3,0),0)</f>
        <v>0</v>
      </c>
    </row>
    <row r="85" spans="1:26" x14ac:dyDescent="0.25">
      <c r="A85" s="9"/>
      <c r="B85" s="12" t="str">
        <f t="shared" si="5"/>
        <v xml:space="preserve"> </v>
      </c>
      <c r="C85" s="10" t="str">
        <f t="shared" si="4"/>
        <v xml:space="preserve"> </v>
      </c>
      <c r="D85" s="10">
        <f t="shared" si="6"/>
        <v>0</v>
      </c>
      <c r="E85" s="10">
        <f t="shared" si="7"/>
        <v>0</v>
      </c>
      <c r="W85" t="str">
        <f>IFERROR(MID(Проливка[[#This Row],[Штрихкод ]],1,FIND("-",Проливка[[#This Row],[Штрихкод ]],1)-1)," ")</f>
        <v xml:space="preserve"> </v>
      </c>
      <c r="X85" t="str">
        <f>IFERROR(RIGHT(Проливка[[#This Row],[Штрихкод ]],LEN(Проливка[[#This Row],[Штрихкод ]])-SEARCH("-",Проливка[[#This Row],[Штрихкод ]],1))," ")</f>
        <v xml:space="preserve"> </v>
      </c>
      <c r="Y85">
        <f>IFERROR(VLOOKUP(Проливка[[#This Row],[ID]]*1,'Срок хранения'!A85:B183,2,0),0)</f>
        <v>0</v>
      </c>
      <c r="Z85">
        <f>IFERROR(VLOOKUP(Проливка[[#This Row],[ID]]*1,'Срок хранения'!A85:C183,3,0),0)</f>
        <v>0</v>
      </c>
    </row>
    <row r="86" spans="1:26" x14ac:dyDescent="0.25">
      <c r="A86" s="9"/>
      <c r="B86" s="12" t="str">
        <f t="shared" si="5"/>
        <v xml:space="preserve"> </v>
      </c>
      <c r="C86" s="10" t="str">
        <f t="shared" si="4"/>
        <v xml:space="preserve"> </v>
      </c>
      <c r="D86" s="10">
        <f t="shared" si="6"/>
        <v>0</v>
      </c>
      <c r="E86" s="10">
        <f t="shared" si="7"/>
        <v>0</v>
      </c>
      <c r="W86" t="str">
        <f>IFERROR(MID(Проливка[[#This Row],[Штрихкод ]],1,FIND("-",Проливка[[#This Row],[Штрихкод ]],1)-1)," ")</f>
        <v xml:space="preserve"> </v>
      </c>
      <c r="X86" t="str">
        <f>IFERROR(RIGHT(Проливка[[#This Row],[Штрихкод ]],LEN(Проливка[[#This Row],[Штрихкод ]])-SEARCH("-",Проливка[[#This Row],[Штрихкод ]],1))," ")</f>
        <v xml:space="preserve"> </v>
      </c>
      <c r="Y86">
        <f>IFERROR(VLOOKUP(Проливка[[#This Row],[ID]]*1,'Срок хранения'!A86:B184,2,0),0)</f>
        <v>0</v>
      </c>
      <c r="Z86">
        <f>IFERROR(VLOOKUP(Проливка[[#This Row],[ID]]*1,'Срок хранения'!A86:C184,3,0),0)</f>
        <v>0</v>
      </c>
    </row>
    <row r="87" spans="1:26" x14ac:dyDescent="0.25">
      <c r="A87" s="9"/>
      <c r="B87" s="12" t="str">
        <f t="shared" si="5"/>
        <v xml:space="preserve"> </v>
      </c>
      <c r="C87" s="10" t="str">
        <f t="shared" si="4"/>
        <v xml:space="preserve"> </v>
      </c>
      <c r="D87" s="10">
        <f t="shared" si="6"/>
        <v>0</v>
      </c>
      <c r="E87" s="10">
        <f t="shared" si="7"/>
        <v>0</v>
      </c>
      <c r="W87" t="str">
        <f>IFERROR(MID(Проливка[[#This Row],[Штрихкод ]],1,FIND("-",Проливка[[#This Row],[Штрихкод ]],1)-1)," ")</f>
        <v xml:space="preserve"> </v>
      </c>
      <c r="X87" t="str">
        <f>IFERROR(RIGHT(Проливка[[#This Row],[Штрихкод ]],LEN(Проливка[[#This Row],[Штрихкод ]])-SEARCH("-",Проливка[[#This Row],[Штрихкод ]],1))," ")</f>
        <v xml:space="preserve"> </v>
      </c>
      <c r="Y87">
        <f>IFERROR(VLOOKUP(Проливка[[#This Row],[ID]]*1,'Срок хранения'!A87:B185,2,0),0)</f>
        <v>0</v>
      </c>
      <c r="Z87">
        <f>IFERROR(VLOOKUP(Проливка[[#This Row],[ID]]*1,'Срок хранения'!A87:C185,3,0),0)</f>
        <v>0</v>
      </c>
    </row>
    <row r="88" spans="1:26" x14ac:dyDescent="0.25">
      <c r="A88" s="9"/>
      <c r="B88" s="12" t="str">
        <f t="shared" si="5"/>
        <v xml:space="preserve"> </v>
      </c>
      <c r="C88" s="10" t="str">
        <f t="shared" si="4"/>
        <v xml:space="preserve"> </v>
      </c>
      <c r="D88" s="10">
        <f t="shared" si="6"/>
        <v>0</v>
      </c>
      <c r="E88" s="10">
        <f t="shared" si="7"/>
        <v>0</v>
      </c>
      <c r="W88" t="str">
        <f>IFERROR(MID(Проливка[[#This Row],[Штрихкод ]],1,FIND("-",Проливка[[#This Row],[Штрихкод ]],1)-1)," ")</f>
        <v xml:space="preserve"> </v>
      </c>
      <c r="X88" t="str">
        <f>IFERROR(RIGHT(Проливка[[#This Row],[Штрихкод ]],LEN(Проливка[[#This Row],[Штрихкод ]])-SEARCH("-",Проливка[[#This Row],[Штрихкод ]],1))," ")</f>
        <v xml:space="preserve"> </v>
      </c>
      <c r="Y88">
        <f>IFERROR(VLOOKUP(Проливка[[#This Row],[ID]]*1,'Срок хранения'!A88:B186,2,0),0)</f>
        <v>0</v>
      </c>
      <c r="Z88">
        <f>IFERROR(VLOOKUP(Проливка[[#This Row],[ID]]*1,'Срок хранения'!A88:C186,3,0),0)</f>
        <v>0</v>
      </c>
    </row>
    <row r="89" spans="1:26" x14ac:dyDescent="0.25">
      <c r="A89" s="9"/>
      <c r="B89" s="12" t="str">
        <f t="shared" si="5"/>
        <v xml:space="preserve"> </v>
      </c>
      <c r="C89" s="10" t="str">
        <f t="shared" si="4"/>
        <v xml:space="preserve"> </v>
      </c>
      <c r="D89" s="10">
        <f t="shared" si="6"/>
        <v>0</v>
      </c>
      <c r="E89" s="10">
        <f t="shared" si="7"/>
        <v>0</v>
      </c>
      <c r="W89" t="str">
        <f>IFERROR(MID(Проливка[[#This Row],[Штрихкод ]],1,FIND("-",Проливка[[#This Row],[Штрихкод ]],1)-1)," ")</f>
        <v xml:space="preserve"> </v>
      </c>
      <c r="X89" t="str">
        <f>IFERROR(RIGHT(Проливка[[#This Row],[Штрихкод ]],LEN(Проливка[[#This Row],[Штрихкод ]])-SEARCH("-",Проливка[[#This Row],[Штрихкод ]],1))," ")</f>
        <v xml:space="preserve"> </v>
      </c>
      <c r="Y89">
        <f>IFERROR(VLOOKUP(Проливка[[#This Row],[ID]]*1,'Срок хранения'!A89:B187,2,0),0)</f>
        <v>0</v>
      </c>
      <c r="Z89">
        <f>IFERROR(VLOOKUP(Проливка[[#This Row],[ID]]*1,'Срок хранения'!A89:C187,3,0),0)</f>
        <v>0</v>
      </c>
    </row>
    <row r="90" spans="1:26" x14ac:dyDescent="0.25">
      <c r="A90" s="9"/>
      <c r="B90" s="12" t="str">
        <f t="shared" si="5"/>
        <v xml:space="preserve"> </v>
      </c>
      <c r="C90" s="10" t="str">
        <f t="shared" si="4"/>
        <v xml:space="preserve"> </v>
      </c>
      <c r="D90" s="10">
        <f t="shared" si="6"/>
        <v>0</v>
      </c>
      <c r="E90" s="10">
        <f t="shared" si="7"/>
        <v>0</v>
      </c>
      <c r="W90" t="str">
        <f>IFERROR(MID(Проливка[[#This Row],[Штрихкод ]],1,FIND("-",Проливка[[#This Row],[Штрихкод ]],1)-1)," ")</f>
        <v xml:space="preserve"> </v>
      </c>
      <c r="X90" t="str">
        <f>IFERROR(RIGHT(Проливка[[#This Row],[Штрихкод ]],LEN(Проливка[[#This Row],[Штрихкод ]])-SEARCH("-",Проливка[[#This Row],[Штрихкод ]],1))," ")</f>
        <v xml:space="preserve"> </v>
      </c>
      <c r="Y90">
        <f>IFERROR(VLOOKUP(Проливка[[#This Row],[ID]]*1,'Срок хранения'!A90:B188,2,0),0)</f>
        <v>0</v>
      </c>
      <c r="Z90">
        <f>IFERROR(VLOOKUP(Проливка[[#This Row],[ID]]*1,'Срок хранения'!A90:C188,3,0),0)</f>
        <v>0</v>
      </c>
    </row>
    <row r="91" spans="1:26" x14ac:dyDescent="0.25">
      <c r="A91" s="9"/>
      <c r="B91" s="12" t="str">
        <f t="shared" si="5"/>
        <v xml:space="preserve"> </v>
      </c>
      <c r="C91" s="10" t="str">
        <f t="shared" si="4"/>
        <v xml:space="preserve"> </v>
      </c>
      <c r="D91" s="10">
        <f t="shared" si="6"/>
        <v>0</v>
      </c>
      <c r="E91" s="10">
        <f t="shared" si="7"/>
        <v>0</v>
      </c>
      <c r="W91" t="str">
        <f>IFERROR(MID(Проливка[[#This Row],[Штрихкод ]],1,FIND("-",Проливка[[#This Row],[Штрихкод ]],1)-1)," ")</f>
        <v xml:space="preserve"> </v>
      </c>
      <c r="X91" t="str">
        <f>IFERROR(RIGHT(Проливка[[#This Row],[Штрихкод ]],LEN(Проливка[[#This Row],[Штрихкод ]])-SEARCH("-",Проливка[[#This Row],[Штрихкод ]],1))," ")</f>
        <v xml:space="preserve"> </v>
      </c>
      <c r="Y91">
        <f>IFERROR(VLOOKUP(Проливка[[#This Row],[ID]]*1,'Срок хранения'!A91:B189,2,0),0)</f>
        <v>0</v>
      </c>
      <c r="Z91">
        <f>IFERROR(VLOOKUP(Проливка[[#This Row],[ID]]*1,'Срок хранения'!A91:C189,3,0),0)</f>
        <v>0</v>
      </c>
    </row>
    <row r="92" spans="1:26" x14ac:dyDescent="0.25">
      <c r="A92" s="9"/>
      <c r="B92" s="12" t="str">
        <f t="shared" si="5"/>
        <v xml:space="preserve"> </v>
      </c>
      <c r="C92" s="10" t="str">
        <f t="shared" si="4"/>
        <v xml:space="preserve"> </v>
      </c>
      <c r="D92" s="10">
        <f t="shared" si="6"/>
        <v>0</v>
      </c>
      <c r="E92" s="10">
        <f t="shared" si="7"/>
        <v>0</v>
      </c>
      <c r="W92" t="str">
        <f>IFERROR(MID(Проливка[[#This Row],[Штрихкод ]],1,FIND("-",Проливка[[#This Row],[Штрихкод ]],1)-1)," ")</f>
        <v xml:space="preserve"> </v>
      </c>
      <c r="X92" t="str">
        <f>IFERROR(RIGHT(Проливка[[#This Row],[Штрихкод ]],LEN(Проливка[[#This Row],[Штрихкод ]])-SEARCH("-",Проливка[[#This Row],[Штрихкод ]],1))," ")</f>
        <v xml:space="preserve"> </v>
      </c>
      <c r="Y92">
        <f>IFERROR(VLOOKUP(Проливка[[#This Row],[ID]]*1,'Срок хранения'!A92:B190,2,0),0)</f>
        <v>0</v>
      </c>
      <c r="Z92">
        <f>IFERROR(VLOOKUP(Проливка[[#This Row],[ID]]*1,'Срок хранения'!A92:C190,3,0),0)</f>
        <v>0</v>
      </c>
    </row>
    <row r="93" spans="1:26" x14ac:dyDescent="0.25">
      <c r="A93" s="9"/>
      <c r="B93" s="12" t="str">
        <f t="shared" si="5"/>
        <v xml:space="preserve"> </v>
      </c>
      <c r="C93" s="10" t="str">
        <f t="shared" si="4"/>
        <v xml:space="preserve"> </v>
      </c>
      <c r="D93" s="10">
        <f t="shared" si="6"/>
        <v>0</v>
      </c>
      <c r="E93" s="10">
        <f t="shared" si="7"/>
        <v>0</v>
      </c>
      <c r="W93" t="str">
        <f>IFERROR(MID(Проливка[[#This Row],[Штрихкод ]],1,FIND("-",Проливка[[#This Row],[Штрихкод ]],1)-1)," ")</f>
        <v xml:space="preserve"> </v>
      </c>
      <c r="X93" t="str">
        <f>IFERROR(RIGHT(Проливка[[#This Row],[Штрихкод ]],LEN(Проливка[[#This Row],[Штрихкод ]])-SEARCH("-",Проливка[[#This Row],[Штрихкод ]],1))," ")</f>
        <v xml:space="preserve"> </v>
      </c>
      <c r="Y93">
        <f>IFERROR(VLOOKUP(Проливка[[#This Row],[ID]]*1,'Срок хранения'!A93:B191,2,0),0)</f>
        <v>0</v>
      </c>
      <c r="Z93">
        <f>IFERROR(VLOOKUP(Проливка[[#This Row],[ID]]*1,'Срок хранения'!A93:C191,3,0),0)</f>
        <v>0</v>
      </c>
    </row>
    <row r="94" spans="1:26" x14ac:dyDescent="0.25">
      <c r="A94" s="9"/>
      <c r="B94" s="12" t="str">
        <f t="shared" si="5"/>
        <v xml:space="preserve"> </v>
      </c>
      <c r="C94" s="10" t="str">
        <f t="shared" si="4"/>
        <v xml:space="preserve"> </v>
      </c>
      <c r="D94" s="10">
        <f t="shared" si="6"/>
        <v>0</v>
      </c>
      <c r="E94" s="10">
        <f t="shared" si="7"/>
        <v>0</v>
      </c>
      <c r="W94" t="str">
        <f>IFERROR(MID(Проливка[[#This Row],[Штрихкод ]],1,FIND("-",Проливка[[#This Row],[Штрихкод ]],1)-1)," ")</f>
        <v xml:space="preserve"> </v>
      </c>
      <c r="X94" t="str">
        <f>IFERROR(RIGHT(Проливка[[#This Row],[Штрихкод ]],LEN(Проливка[[#This Row],[Штрихкод ]])-SEARCH("-",Проливка[[#This Row],[Штрихкод ]],1))," ")</f>
        <v xml:space="preserve"> </v>
      </c>
      <c r="Y94">
        <f>IFERROR(VLOOKUP(Проливка[[#This Row],[ID]]*1,'Срок хранения'!A94:B192,2,0),0)</f>
        <v>0</v>
      </c>
      <c r="Z94">
        <f>IFERROR(VLOOKUP(Проливка[[#This Row],[ID]]*1,'Срок хранения'!A94:C192,3,0),0)</f>
        <v>0</v>
      </c>
    </row>
    <row r="95" spans="1:26" x14ac:dyDescent="0.25">
      <c r="A95" s="9"/>
      <c r="B95" s="12" t="str">
        <f t="shared" si="5"/>
        <v xml:space="preserve"> </v>
      </c>
      <c r="C95" s="10" t="str">
        <f t="shared" si="4"/>
        <v xml:space="preserve"> </v>
      </c>
      <c r="D95" s="10">
        <f t="shared" si="6"/>
        <v>0</v>
      </c>
      <c r="E95" s="10">
        <f t="shared" si="7"/>
        <v>0</v>
      </c>
      <c r="W95" t="str">
        <f>IFERROR(MID(Проливка[[#This Row],[Штрихкод ]],1,FIND("-",Проливка[[#This Row],[Штрихкод ]],1)-1)," ")</f>
        <v xml:space="preserve"> </v>
      </c>
      <c r="X95" t="str">
        <f>IFERROR(RIGHT(Проливка[[#This Row],[Штрихкод ]],LEN(Проливка[[#This Row],[Штрихкод ]])-SEARCH("-",Проливка[[#This Row],[Штрихкод ]],1))," ")</f>
        <v xml:space="preserve"> </v>
      </c>
      <c r="Y95">
        <f>IFERROR(VLOOKUP(Проливка[[#This Row],[ID]]*1,'Срок хранения'!A95:B193,2,0),0)</f>
        <v>0</v>
      </c>
      <c r="Z95">
        <f>IFERROR(VLOOKUP(Проливка[[#This Row],[ID]]*1,'Срок хранения'!A95:C193,3,0),0)</f>
        <v>0</v>
      </c>
    </row>
    <row r="96" spans="1:26" x14ac:dyDescent="0.25">
      <c r="A96" s="9"/>
      <c r="B96" s="12" t="str">
        <f t="shared" si="5"/>
        <v xml:space="preserve"> </v>
      </c>
      <c r="C96" s="10" t="str">
        <f t="shared" si="4"/>
        <v xml:space="preserve"> </v>
      </c>
      <c r="D96" s="10">
        <f t="shared" si="6"/>
        <v>0</v>
      </c>
      <c r="E96" s="10">
        <f t="shared" si="7"/>
        <v>0</v>
      </c>
      <c r="W96" t="str">
        <f>IFERROR(MID(Проливка[[#This Row],[Штрихкод ]],1,FIND("-",Проливка[[#This Row],[Штрихкод ]],1)-1)," ")</f>
        <v xml:space="preserve"> </v>
      </c>
      <c r="X96" t="str">
        <f>IFERROR(RIGHT(Проливка[[#This Row],[Штрихкод ]],LEN(Проливка[[#This Row],[Штрихкод ]])-SEARCH("-",Проливка[[#This Row],[Штрихкод ]],1))," ")</f>
        <v xml:space="preserve"> </v>
      </c>
      <c r="Y96">
        <f>IFERROR(VLOOKUP(Проливка[[#This Row],[ID]]*1,'Срок хранения'!A96:B194,2,0),0)</f>
        <v>0</v>
      </c>
      <c r="Z96">
        <f>IFERROR(VLOOKUP(Проливка[[#This Row],[ID]]*1,'Срок хранения'!A96:C194,3,0),0)</f>
        <v>0</v>
      </c>
    </row>
    <row r="97" spans="1:26" x14ac:dyDescent="0.25">
      <c r="A97" s="9"/>
      <c r="B97" s="12" t="str">
        <f t="shared" si="5"/>
        <v xml:space="preserve"> </v>
      </c>
      <c r="C97" s="10" t="str">
        <f t="shared" si="4"/>
        <v xml:space="preserve"> </v>
      </c>
      <c r="D97" s="10">
        <f t="shared" si="6"/>
        <v>0</v>
      </c>
      <c r="E97" s="10">
        <f t="shared" si="7"/>
        <v>0</v>
      </c>
      <c r="W97" t="str">
        <f>IFERROR(MID(Проливка[[#This Row],[Штрихкод ]],1,FIND("-",Проливка[[#This Row],[Штрихкод ]],1)-1)," ")</f>
        <v xml:space="preserve"> </v>
      </c>
      <c r="X97" t="str">
        <f>IFERROR(RIGHT(Проливка[[#This Row],[Штрихкод ]],LEN(Проливка[[#This Row],[Штрихкод ]])-SEARCH("-",Проливка[[#This Row],[Штрихкод ]],1))," ")</f>
        <v xml:space="preserve"> </v>
      </c>
      <c r="Y97">
        <f>IFERROR(VLOOKUP(Проливка[[#This Row],[ID]]*1,'Срок хранения'!A97:B195,2,0),0)</f>
        <v>0</v>
      </c>
      <c r="Z97">
        <f>IFERROR(VLOOKUP(Проливка[[#This Row],[ID]]*1,'Срок хранения'!A97:C195,3,0),0)</f>
        <v>0</v>
      </c>
    </row>
    <row r="98" spans="1:26" x14ac:dyDescent="0.25">
      <c r="A98" s="9"/>
      <c r="B98" s="12" t="str">
        <f t="shared" si="5"/>
        <v xml:space="preserve"> </v>
      </c>
      <c r="C98" s="10" t="str">
        <f t="shared" si="4"/>
        <v xml:space="preserve"> </v>
      </c>
      <c r="D98" s="10">
        <f t="shared" si="6"/>
        <v>0</v>
      </c>
      <c r="E98" s="10">
        <f t="shared" si="7"/>
        <v>0</v>
      </c>
      <c r="W98" t="str">
        <f>IFERROR(MID(Проливка[[#This Row],[Штрихкод ]],1,FIND("-",Проливка[[#This Row],[Штрихкод ]],1)-1)," ")</f>
        <v xml:space="preserve"> </v>
      </c>
      <c r="X98" t="str">
        <f>IFERROR(RIGHT(Проливка[[#This Row],[Штрихкод ]],LEN(Проливка[[#This Row],[Штрихкод ]])-SEARCH("-",Проливка[[#This Row],[Штрихкод ]],1))," ")</f>
        <v xml:space="preserve"> </v>
      </c>
      <c r="Y98">
        <f>IFERROR(VLOOKUP(Проливка[[#This Row],[ID]]*1,'Срок хранения'!A98:B196,2,0),0)</f>
        <v>0</v>
      </c>
      <c r="Z98">
        <f>IFERROR(VLOOKUP(Проливка[[#This Row],[ID]]*1,'Срок хранения'!A98:C196,3,0),0)</f>
        <v>0</v>
      </c>
    </row>
    <row r="99" spans="1:26" x14ac:dyDescent="0.25">
      <c r="A99" s="9"/>
      <c r="B99" s="12" t="str">
        <f t="shared" si="5"/>
        <v xml:space="preserve"> </v>
      </c>
      <c r="C99" s="10" t="str">
        <f t="shared" si="4"/>
        <v xml:space="preserve"> </v>
      </c>
      <c r="D99" s="10">
        <f t="shared" si="6"/>
        <v>0</v>
      </c>
      <c r="E99" s="10">
        <f t="shared" si="7"/>
        <v>0</v>
      </c>
      <c r="W99" t="str">
        <f>IFERROR(MID(Проливка[[#This Row],[Штрихкод ]],1,FIND("-",Проливка[[#This Row],[Штрихкод ]],1)-1)," ")</f>
        <v xml:space="preserve"> </v>
      </c>
      <c r="X99" t="str">
        <f>IFERROR(RIGHT(Проливка[[#This Row],[Штрихкод ]],LEN(Проливка[[#This Row],[Штрихкод ]])-SEARCH("-",Проливка[[#This Row],[Штрихкод ]],1))," ")</f>
        <v xml:space="preserve"> </v>
      </c>
      <c r="Y99">
        <f>IFERROR(VLOOKUP(Проливка[[#This Row],[ID]]*1,'Срок хранения'!A99:B197,2,0),0)</f>
        <v>0</v>
      </c>
      <c r="Z99">
        <f>IFERROR(VLOOKUP(Проливка[[#This Row],[ID]]*1,'Срок хранения'!A99:C197,3,0),0)</f>
        <v>0</v>
      </c>
    </row>
    <row r="100" spans="1:26" x14ac:dyDescent="0.25">
      <c r="A100" s="9"/>
      <c r="B100" s="12" t="str">
        <f t="shared" si="5"/>
        <v xml:space="preserve"> </v>
      </c>
      <c r="C100" s="10" t="str">
        <f t="shared" si="4"/>
        <v xml:space="preserve"> </v>
      </c>
      <c r="D100" s="10">
        <f t="shared" si="6"/>
        <v>0</v>
      </c>
      <c r="E100" s="10">
        <f t="shared" si="7"/>
        <v>0</v>
      </c>
      <c r="W100" t="str">
        <f>IFERROR(MID(Проливка[[#This Row],[Штрихкод ]],1,FIND("-",Проливка[[#This Row],[Штрихкод ]],1)-1)," ")</f>
        <v xml:space="preserve"> </v>
      </c>
      <c r="X100" t="str">
        <f>IFERROR(RIGHT(Проливка[[#This Row],[Штрихкод ]],LEN(Проливка[[#This Row],[Штрихкод ]])-SEARCH("-",Проливка[[#This Row],[Штрихкод ]],1))," ")</f>
        <v xml:space="preserve"> </v>
      </c>
      <c r="Y100">
        <f>IFERROR(VLOOKUP(Проливка[[#This Row],[ID]]*1,'Срок хранения'!A100:B198,2,0),0)</f>
        <v>0</v>
      </c>
      <c r="Z100">
        <f>IFERROR(VLOOKUP(Проливка[[#This Row],[ID]]*1,'Срок хранения'!A100:C198,3,0),0)</f>
        <v>0</v>
      </c>
    </row>
    <row r="101" spans="1:26" x14ac:dyDescent="0.25">
      <c r="A101" s="9"/>
      <c r="B101" s="12" t="str">
        <f t="shared" si="5"/>
        <v xml:space="preserve"> </v>
      </c>
      <c r="C101" s="10" t="str">
        <f t="shared" si="4"/>
        <v xml:space="preserve"> </v>
      </c>
      <c r="D101" s="10">
        <f t="shared" si="6"/>
        <v>0</v>
      </c>
      <c r="E101" s="10">
        <f t="shared" si="7"/>
        <v>0</v>
      </c>
      <c r="W101" t="str">
        <f>IFERROR(MID(Проливка[[#This Row],[Штрихкод ]],1,FIND("-",Проливка[[#This Row],[Штрихкод ]],1)-1)," ")</f>
        <v xml:space="preserve"> </v>
      </c>
      <c r="X101" t="str">
        <f>IFERROR(RIGHT(Проливка[[#This Row],[Штрихкод ]],LEN(Проливка[[#This Row],[Штрихкод ]])-SEARCH("-",Проливка[[#This Row],[Штрихкод ]],1))," ")</f>
        <v xml:space="preserve"> </v>
      </c>
      <c r="Y101">
        <f>IFERROR(VLOOKUP(Проливка[[#This Row],[ID]]*1,'Срок хранения'!A101:B199,2,0),0)</f>
        <v>0</v>
      </c>
      <c r="Z101">
        <f>IFERROR(VLOOKUP(Проливка[[#This Row],[ID]]*1,'Срок хранения'!A101:C199,3,0),0)</f>
        <v>0</v>
      </c>
    </row>
    <row r="102" spans="1:26" x14ac:dyDescent="0.25">
      <c r="A102" s="9"/>
      <c r="B102" s="12" t="str">
        <f t="shared" si="5"/>
        <v xml:space="preserve"> </v>
      </c>
      <c r="C102" s="10" t="str">
        <f t="shared" si="4"/>
        <v xml:space="preserve"> </v>
      </c>
      <c r="D102" s="10">
        <f t="shared" si="6"/>
        <v>0</v>
      </c>
      <c r="E102" s="10">
        <f t="shared" si="7"/>
        <v>0</v>
      </c>
      <c r="W102" t="str">
        <f>IFERROR(MID(Проливка[[#This Row],[Штрихкод ]],1,FIND("-",Проливка[[#This Row],[Штрихкод ]],1)-1)," ")</f>
        <v xml:space="preserve"> </v>
      </c>
      <c r="X102" t="str">
        <f>IFERROR(RIGHT(Проливка[[#This Row],[Штрихкод ]],LEN(Проливка[[#This Row],[Штрихкод ]])-SEARCH("-",Проливка[[#This Row],[Штрихкод ]],1))," ")</f>
        <v xml:space="preserve"> </v>
      </c>
      <c r="Y102">
        <f>IFERROR(VLOOKUP(Проливка[[#This Row],[ID]]*1,'Срок хранения'!A102:B200,2,0),0)</f>
        <v>0</v>
      </c>
      <c r="Z102">
        <f>IFERROR(VLOOKUP(Проливка[[#This Row],[ID]]*1,'Срок хранения'!A102:C200,3,0),0)</f>
        <v>0</v>
      </c>
    </row>
    <row r="103" spans="1:26" x14ac:dyDescent="0.25">
      <c r="A103" s="9"/>
      <c r="B103" s="12" t="str">
        <f t="shared" si="5"/>
        <v xml:space="preserve"> </v>
      </c>
      <c r="C103" s="10" t="str">
        <f t="shared" si="4"/>
        <v xml:space="preserve"> </v>
      </c>
      <c r="D103" s="10">
        <f t="shared" si="6"/>
        <v>0</v>
      </c>
      <c r="E103" s="10">
        <f t="shared" si="7"/>
        <v>0</v>
      </c>
      <c r="W103" t="str">
        <f>IFERROR(MID(Проливка[[#This Row],[Штрихкод ]],1,FIND("-",Проливка[[#This Row],[Штрихкод ]],1)-1)," ")</f>
        <v xml:space="preserve"> </v>
      </c>
      <c r="X103" t="str">
        <f>IFERROR(RIGHT(Проливка[[#This Row],[Штрихкод ]],LEN(Проливка[[#This Row],[Штрихкод ]])-SEARCH("-",Проливка[[#This Row],[Штрихкод ]],1))," ")</f>
        <v xml:space="preserve"> </v>
      </c>
      <c r="Y103">
        <f>IFERROR(VLOOKUP(Проливка[[#This Row],[ID]]*1,'Срок хранения'!A103:B201,2,0),0)</f>
        <v>0</v>
      </c>
      <c r="Z103">
        <f>IFERROR(VLOOKUP(Проливка[[#This Row],[ID]]*1,'Срок хранения'!A103:C201,3,0),0)</f>
        <v>0</v>
      </c>
    </row>
    <row r="104" spans="1:26" x14ac:dyDescent="0.25">
      <c r="A104" s="9"/>
      <c r="B104" s="12" t="str">
        <f t="shared" si="5"/>
        <v xml:space="preserve"> </v>
      </c>
      <c r="C104" s="10" t="str">
        <f t="shared" si="4"/>
        <v xml:space="preserve"> </v>
      </c>
      <c r="D104" s="10">
        <f t="shared" si="6"/>
        <v>0</v>
      </c>
      <c r="E104" s="10">
        <f t="shared" si="7"/>
        <v>0</v>
      </c>
      <c r="W104" t="str">
        <f>IFERROR(MID(Проливка[[#This Row],[Штрихкод ]],1,FIND("-",Проливка[[#This Row],[Штрихкод ]],1)-1)," ")</f>
        <v xml:space="preserve"> </v>
      </c>
      <c r="X104" t="str">
        <f>IFERROR(RIGHT(Проливка[[#This Row],[Штрихкод ]],LEN(Проливка[[#This Row],[Штрихкод ]])-SEARCH("-",Проливка[[#This Row],[Штрихкод ]],1))," ")</f>
        <v xml:space="preserve"> </v>
      </c>
      <c r="Y104">
        <f>IFERROR(VLOOKUP(Проливка[[#This Row],[ID]]*1,'Срок хранения'!A104:B202,2,0),0)</f>
        <v>0</v>
      </c>
      <c r="Z104">
        <f>IFERROR(VLOOKUP(Проливка[[#This Row],[ID]]*1,'Срок хранения'!A104:C202,3,0),0)</f>
        <v>0</v>
      </c>
    </row>
    <row r="105" spans="1:26" x14ac:dyDescent="0.25">
      <c r="A105" s="9"/>
      <c r="B105" s="12" t="str">
        <f t="shared" si="5"/>
        <v xml:space="preserve"> </v>
      </c>
      <c r="C105" s="10" t="str">
        <f t="shared" si="4"/>
        <v xml:space="preserve"> </v>
      </c>
      <c r="D105" s="10">
        <f t="shared" si="6"/>
        <v>0</v>
      </c>
      <c r="E105" s="10">
        <f t="shared" si="7"/>
        <v>0</v>
      </c>
      <c r="W105" t="str">
        <f>IFERROR(MID(Проливка[[#This Row],[Штрихкод ]],1,FIND("-",Проливка[[#This Row],[Штрихкод ]],1)-1)," ")</f>
        <v xml:space="preserve"> </v>
      </c>
      <c r="X105" t="str">
        <f>IFERROR(RIGHT(Проливка[[#This Row],[Штрихкод ]],LEN(Проливка[[#This Row],[Штрихкод ]])-SEARCH("-",Проливка[[#This Row],[Штрихкод ]],1))," ")</f>
        <v xml:space="preserve"> </v>
      </c>
      <c r="Y105">
        <f>IFERROR(VLOOKUP(Проливка[[#This Row],[ID]]*1,'Срок хранения'!A105:B203,2,0),0)</f>
        <v>0</v>
      </c>
      <c r="Z105">
        <f>IFERROR(VLOOKUP(Проливка[[#This Row],[ID]]*1,'Срок хранения'!A105:C203,3,0),0)</f>
        <v>0</v>
      </c>
    </row>
    <row r="106" spans="1:26" x14ac:dyDescent="0.25">
      <c r="A106" s="9"/>
      <c r="B106" s="12" t="str">
        <f t="shared" si="5"/>
        <v xml:space="preserve"> </v>
      </c>
      <c r="C106" s="10" t="str">
        <f t="shared" si="4"/>
        <v xml:space="preserve"> </v>
      </c>
      <c r="D106" s="10">
        <f t="shared" si="6"/>
        <v>0</v>
      </c>
      <c r="E106" s="10">
        <f t="shared" si="7"/>
        <v>0</v>
      </c>
      <c r="W106" t="str">
        <f>IFERROR(MID(Проливка[[#This Row],[Штрихкод ]],1,FIND("-",Проливка[[#This Row],[Штрихкод ]],1)-1)," ")</f>
        <v xml:space="preserve"> </v>
      </c>
      <c r="X106" t="str">
        <f>IFERROR(RIGHT(Проливка[[#This Row],[Штрихкод ]],LEN(Проливка[[#This Row],[Штрихкод ]])-SEARCH("-",Проливка[[#This Row],[Штрихкод ]],1))," ")</f>
        <v xml:space="preserve"> </v>
      </c>
      <c r="Y106">
        <f>IFERROR(VLOOKUP(Проливка[[#This Row],[ID]]*1,'Срок хранения'!A106:B204,2,0),0)</f>
        <v>0</v>
      </c>
      <c r="Z106">
        <f>IFERROR(VLOOKUP(Проливка[[#This Row],[ID]]*1,'Срок хранения'!A106:C204,3,0),0)</f>
        <v>0</v>
      </c>
    </row>
    <row r="107" spans="1:26" x14ac:dyDescent="0.25">
      <c r="A107" s="9"/>
      <c r="B107" s="12" t="str">
        <f t="shared" si="5"/>
        <v xml:space="preserve"> </v>
      </c>
      <c r="C107" s="10" t="str">
        <f t="shared" si="4"/>
        <v xml:space="preserve"> </v>
      </c>
      <c r="D107" s="10">
        <f t="shared" si="6"/>
        <v>0</v>
      </c>
      <c r="E107" s="10">
        <f t="shared" si="7"/>
        <v>0</v>
      </c>
      <c r="W107" t="str">
        <f>IFERROR(MID(Проливка[[#This Row],[Штрихкод ]],1,FIND("-",Проливка[[#This Row],[Штрихкод ]],1)-1)," ")</f>
        <v xml:space="preserve"> </v>
      </c>
      <c r="X107" t="str">
        <f>IFERROR(RIGHT(Проливка[[#This Row],[Штрихкод ]],LEN(Проливка[[#This Row],[Штрихкод ]])-SEARCH("-",Проливка[[#This Row],[Штрихкод ]],1))," ")</f>
        <v xml:space="preserve"> </v>
      </c>
      <c r="Y107">
        <f>IFERROR(VLOOKUP(Проливка[[#This Row],[ID]]*1,'Срок хранения'!A107:B205,2,0),0)</f>
        <v>0</v>
      </c>
      <c r="Z107">
        <f>IFERROR(VLOOKUP(Проливка[[#This Row],[ID]]*1,'Срок хранения'!A107:C205,3,0),0)</f>
        <v>0</v>
      </c>
    </row>
    <row r="108" spans="1:26" x14ac:dyDescent="0.25">
      <c r="A108" s="9"/>
      <c r="B108" s="12" t="str">
        <f t="shared" si="5"/>
        <v xml:space="preserve"> </v>
      </c>
      <c r="C108" s="10" t="str">
        <f t="shared" si="4"/>
        <v xml:space="preserve"> </v>
      </c>
      <c r="D108" s="10">
        <f t="shared" si="6"/>
        <v>0</v>
      </c>
      <c r="E108" s="10">
        <f t="shared" si="7"/>
        <v>0</v>
      </c>
      <c r="W108" t="str">
        <f>IFERROR(MID(Проливка[[#This Row],[Штрихкод ]],1,FIND("-",Проливка[[#This Row],[Штрихкод ]],1)-1)," ")</f>
        <v xml:space="preserve"> </v>
      </c>
      <c r="X108" t="str">
        <f>IFERROR(RIGHT(Проливка[[#This Row],[Штрихкод ]],LEN(Проливка[[#This Row],[Штрихкод ]])-SEARCH("-",Проливка[[#This Row],[Штрихкод ]],1))," ")</f>
        <v xml:space="preserve"> </v>
      </c>
      <c r="Y108">
        <f>IFERROR(VLOOKUP(Проливка[[#This Row],[ID]]*1,'Срок хранения'!A108:B206,2,0),0)</f>
        <v>0</v>
      </c>
      <c r="Z108">
        <f>IFERROR(VLOOKUP(Проливка[[#This Row],[ID]]*1,'Срок хранения'!A108:C206,3,0),0)</f>
        <v>0</v>
      </c>
    </row>
    <row r="109" spans="1:26" x14ac:dyDescent="0.25">
      <c r="A109" s="9"/>
      <c r="B109" s="12" t="str">
        <f t="shared" si="5"/>
        <v xml:space="preserve"> </v>
      </c>
      <c r="C109" s="10" t="str">
        <f t="shared" si="4"/>
        <v xml:space="preserve"> </v>
      </c>
      <c r="D109" s="10">
        <f t="shared" si="6"/>
        <v>0</v>
      </c>
      <c r="E109" s="10">
        <f t="shared" si="7"/>
        <v>0</v>
      </c>
      <c r="W109" t="str">
        <f>IFERROR(MID(Проливка[[#This Row],[Штрихкод ]],1,FIND("-",Проливка[[#This Row],[Штрихкод ]],1)-1)," ")</f>
        <v xml:space="preserve"> </v>
      </c>
      <c r="X109" t="str">
        <f>IFERROR(RIGHT(Проливка[[#This Row],[Штрихкод ]],LEN(Проливка[[#This Row],[Штрихкод ]])-SEARCH("-",Проливка[[#This Row],[Штрихкод ]],1))," ")</f>
        <v xml:space="preserve"> </v>
      </c>
      <c r="Y109">
        <f>IFERROR(VLOOKUP(Проливка[[#This Row],[ID]]*1,'Срок хранения'!A109:B207,2,0),0)</f>
        <v>0</v>
      </c>
      <c r="Z109">
        <f>IFERROR(VLOOKUP(Проливка[[#This Row],[ID]]*1,'Срок хранения'!A109:C207,3,0),0)</f>
        <v>0</v>
      </c>
    </row>
    <row r="110" spans="1:26" x14ac:dyDescent="0.25">
      <c r="A110" s="9"/>
      <c r="B110" s="12" t="str">
        <f t="shared" si="5"/>
        <v xml:space="preserve"> </v>
      </c>
      <c r="C110" s="10" t="str">
        <f t="shared" si="4"/>
        <v xml:space="preserve"> </v>
      </c>
      <c r="D110" s="10">
        <f t="shared" si="6"/>
        <v>0</v>
      </c>
      <c r="E110" s="10">
        <f t="shared" si="7"/>
        <v>0</v>
      </c>
      <c r="W110" t="str">
        <f>IFERROR(MID(Проливка[[#This Row],[Штрихкод ]],1,FIND("-",Проливка[[#This Row],[Штрихкод ]],1)-1)," ")</f>
        <v xml:space="preserve"> </v>
      </c>
      <c r="X110" t="str">
        <f>IFERROR(RIGHT(Проливка[[#This Row],[Штрихкод ]],LEN(Проливка[[#This Row],[Штрихкод ]])-SEARCH("-",Проливка[[#This Row],[Штрихкод ]],1))," ")</f>
        <v xml:space="preserve"> </v>
      </c>
      <c r="Y110">
        <f>IFERROR(VLOOKUP(Проливка[[#This Row],[ID]]*1,'Срок хранения'!A110:B208,2,0),0)</f>
        <v>0</v>
      </c>
      <c r="Z110">
        <f>IFERROR(VLOOKUP(Проливка[[#This Row],[ID]]*1,'Срок хранения'!A110:C208,3,0),0)</f>
        <v>0</v>
      </c>
    </row>
    <row r="111" spans="1:26" x14ac:dyDescent="0.25">
      <c r="A111" s="9"/>
      <c r="B111" s="12" t="str">
        <f t="shared" si="5"/>
        <v xml:space="preserve"> </v>
      </c>
      <c r="C111" s="10" t="str">
        <f t="shared" si="4"/>
        <v xml:space="preserve"> </v>
      </c>
      <c r="D111" s="10">
        <f t="shared" si="6"/>
        <v>0</v>
      </c>
      <c r="E111" s="10">
        <f t="shared" si="7"/>
        <v>0</v>
      </c>
      <c r="W111" t="str">
        <f>IFERROR(MID(Проливка[[#This Row],[Штрихкод ]],1,FIND("-",Проливка[[#This Row],[Штрихкод ]],1)-1)," ")</f>
        <v xml:space="preserve"> </v>
      </c>
      <c r="X111" t="str">
        <f>IFERROR(RIGHT(Проливка[[#This Row],[Штрихкод ]],LEN(Проливка[[#This Row],[Штрихкод ]])-SEARCH("-",Проливка[[#This Row],[Штрихкод ]],1))," ")</f>
        <v xml:space="preserve"> </v>
      </c>
      <c r="Y111">
        <f>IFERROR(VLOOKUP(Проливка[[#This Row],[ID]]*1,'Срок хранения'!A111:B209,2,0),0)</f>
        <v>0</v>
      </c>
      <c r="Z111">
        <f>IFERROR(VLOOKUP(Проливка[[#This Row],[ID]]*1,'Срок хранения'!A111:C209,3,0),0)</f>
        <v>0</v>
      </c>
    </row>
    <row r="112" spans="1:26" x14ac:dyDescent="0.25">
      <c r="A112" s="9"/>
      <c r="B112" s="12" t="str">
        <f t="shared" si="5"/>
        <v xml:space="preserve"> </v>
      </c>
      <c r="C112" s="10" t="str">
        <f t="shared" si="4"/>
        <v xml:space="preserve"> </v>
      </c>
      <c r="D112" s="10">
        <f t="shared" si="6"/>
        <v>0</v>
      </c>
      <c r="E112" s="10">
        <f t="shared" si="7"/>
        <v>0</v>
      </c>
      <c r="W112" t="str">
        <f>IFERROR(MID(Проливка[[#This Row],[Штрихкод ]],1,FIND("-",Проливка[[#This Row],[Штрихкод ]],1)-1)," ")</f>
        <v xml:space="preserve"> </v>
      </c>
      <c r="X112" t="str">
        <f>IFERROR(RIGHT(Проливка[[#This Row],[Штрихкод ]],LEN(Проливка[[#This Row],[Штрихкод ]])-SEARCH("-",Проливка[[#This Row],[Штрихкод ]],1))," ")</f>
        <v xml:space="preserve"> </v>
      </c>
      <c r="Y112">
        <f>IFERROR(VLOOKUP(Проливка[[#This Row],[ID]]*1,'Срок хранения'!A112:B210,2,0),0)</f>
        <v>0</v>
      </c>
      <c r="Z112">
        <f>IFERROR(VLOOKUP(Проливка[[#This Row],[ID]]*1,'Срок хранения'!A112:C210,3,0),0)</f>
        <v>0</v>
      </c>
    </row>
    <row r="113" spans="1:26" x14ac:dyDescent="0.25">
      <c r="A113" s="9"/>
      <c r="B113" s="12" t="str">
        <f t="shared" si="5"/>
        <v xml:space="preserve"> </v>
      </c>
      <c r="C113" s="10" t="str">
        <f t="shared" si="4"/>
        <v xml:space="preserve"> </v>
      </c>
      <c r="D113" s="10">
        <f t="shared" si="6"/>
        <v>0</v>
      </c>
      <c r="E113" s="10">
        <f t="shared" si="7"/>
        <v>0</v>
      </c>
      <c r="W113" t="str">
        <f>IFERROR(MID(Проливка[[#This Row],[Штрихкод ]],1,FIND("-",Проливка[[#This Row],[Штрихкод ]],1)-1)," ")</f>
        <v xml:space="preserve"> </v>
      </c>
      <c r="X113" t="str">
        <f>IFERROR(RIGHT(Проливка[[#This Row],[Штрихкод ]],LEN(Проливка[[#This Row],[Штрихкод ]])-SEARCH("-",Проливка[[#This Row],[Штрихкод ]],1))," ")</f>
        <v xml:space="preserve"> </v>
      </c>
      <c r="Y113">
        <f>IFERROR(VLOOKUP(Проливка[[#This Row],[ID]]*1,'Срок хранения'!A113:B211,2,0),0)</f>
        <v>0</v>
      </c>
      <c r="Z113">
        <f>IFERROR(VLOOKUP(Проливка[[#This Row],[ID]]*1,'Срок хранения'!A113:C211,3,0),0)</f>
        <v>0</v>
      </c>
    </row>
    <row r="114" spans="1:26" x14ac:dyDescent="0.25">
      <c r="A114" s="9"/>
      <c r="B114" s="12" t="str">
        <f t="shared" si="5"/>
        <v xml:space="preserve"> </v>
      </c>
      <c r="C114" s="10" t="str">
        <f t="shared" si="4"/>
        <v xml:space="preserve"> </v>
      </c>
      <c r="D114" s="10">
        <f t="shared" si="6"/>
        <v>0</v>
      </c>
      <c r="E114" s="10">
        <f t="shared" si="7"/>
        <v>0</v>
      </c>
      <c r="W114" t="str">
        <f>IFERROR(MID(Проливка[[#This Row],[Штрихкод ]],1,FIND("-",Проливка[[#This Row],[Штрихкод ]],1)-1)," ")</f>
        <v xml:space="preserve"> </v>
      </c>
      <c r="X114" t="str">
        <f>IFERROR(RIGHT(Проливка[[#This Row],[Штрихкод ]],LEN(Проливка[[#This Row],[Штрихкод ]])-SEARCH("-",Проливка[[#This Row],[Штрихкод ]],1))," ")</f>
        <v xml:space="preserve"> </v>
      </c>
      <c r="Y114">
        <f>IFERROR(VLOOKUP(Проливка[[#This Row],[ID]]*1,'Срок хранения'!A114:B212,2,0),0)</f>
        <v>0</v>
      </c>
      <c r="Z114">
        <f>IFERROR(VLOOKUP(Проливка[[#This Row],[ID]]*1,'Срок хранения'!A114:C212,3,0),0)</f>
        <v>0</v>
      </c>
    </row>
    <row r="115" spans="1:26" x14ac:dyDescent="0.25">
      <c r="A115" s="9"/>
      <c r="B115" s="12" t="str">
        <f t="shared" si="5"/>
        <v xml:space="preserve"> </v>
      </c>
      <c r="C115" s="10" t="str">
        <f t="shared" si="4"/>
        <v xml:space="preserve"> </v>
      </c>
      <c r="D115" s="10">
        <f t="shared" si="6"/>
        <v>0</v>
      </c>
      <c r="E115" s="10">
        <f t="shared" si="7"/>
        <v>0</v>
      </c>
      <c r="W115" t="str">
        <f>IFERROR(MID(Проливка[[#This Row],[Штрихкод ]],1,FIND("-",Проливка[[#This Row],[Штрихкод ]],1)-1)," ")</f>
        <v xml:space="preserve"> </v>
      </c>
      <c r="X115" t="str">
        <f>IFERROR(RIGHT(Проливка[[#This Row],[Штрихкод ]],LEN(Проливка[[#This Row],[Штрихкод ]])-SEARCH("-",Проливка[[#This Row],[Штрихкод ]],1))," ")</f>
        <v xml:space="preserve"> </v>
      </c>
      <c r="Y115">
        <f>IFERROR(VLOOKUP(Проливка[[#This Row],[ID]]*1,'Срок хранения'!A115:B213,2,0),0)</f>
        <v>0</v>
      </c>
      <c r="Z115">
        <f>IFERROR(VLOOKUP(Проливка[[#This Row],[ID]]*1,'Срок хранения'!A115:C213,3,0),0)</f>
        <v>0</v>
      </c>
    </row>
    <row r="116" spans="1:26" x14ac:dyDescent="0.25">
      <c r="A116" s="9"/>
      <c r="B116" s="12" t="str">
        <f t="shared" si="5"/>
        <v xml:space="preserve"> </v>
      </c>
      <c r="C116" s="10" t="str">
        <f t="shared" si="4"/>
        <v xml:space="preserve"> </v>
      </c>
      <c r="D116" s="10">
        <f t="shared" si="6"/>
        <v>0</v>
      </c>
      <c r="E116" s="10">
        <f t="shared" si="7"/>
        <v>0</v>
      </c>
      <c r="W116" t="str">
        <f>IFERROR(MID(Проливка[[#This Row],[Штрихкод ]],1,FIND("-",Проливка[[#This Row],[Штрихкод ]],1)-1)," ")</f>
        <v xml:space="preserve"> </v>
      </c>
      <c r="X116" t="str">
        <f>IFERROR(RIGHT(Проливка[[#This Row],[Штрихкод ]],LEN(Проливка[[#This Row],[Штрихкод ]])-SEARCH("-",Проливка[[#This Row],[Штрихкод ]],1))," ")</f>
        <v xml:space="preserve"> </v>
      </c>
      <c r="Y116">
        <f>IFERROR(VLOOKUP(Проливка[[#This Row],[ID]]*1,'Срок хранения'!A116:B214,2,0),0)</f>
        <v>0</v>
      </c>
      <c r="Z116">
        <f>IFERROR(VLOOKUP(Проливка[[#This Row],[ID]]*1,'Срок хранения'!A116:C214,3,0),0)</f>
        <v>0</v>
      </c>
    </row>
    <row r="117" spans="1:26" x14ac:dyDescent="0.25">
      <c r="A117" s="9"/>
      <c r="B117" s="12" t="str">
        <f t="shared" si="5"/>
        <v xml:space="preserve"> </v>
      </c>
      <c r="C117" s="10" t="str">
        <f t="shared" si="4"/>
        <v xml:space="preserve"> </v>
      </c>
      <c r="D117" s="10">
        <f t="shared" si="6"/>
        <v>0</v>
      </c>
      <c r="E117" s="10">
        <f t="shared" si="7"/>
        <v>0</v>
      </c>
      <c r="W117" t="str">
        <f>IFERROR(MID(Проливка[[#This Row],[Штрихкод ]],1,FIND("-",Проливка[[#This Row],[Штрихкод ]],1)-1)," ")</f>
        <v xml:space="preserve"> </v>
      </c>
      <c r="X117" t="str">
        <f>IFERROR(RIGHT(Проливка[[#This Row],[Штрихкод ]],LEN(Проливка[[#This Row],[Штрихкод ]])-SEARCH("-",Проливка[[#This Row],[Штрихкод ]],1))," ")</f>
        <v xml:space="preserve"> </v>
      </c>
      <c r="Y117">
        <f>IFERROR(VLOOKUP(Проливка[[#This Row],[ID]]*1,'Срок хранения'!A117:B215,2,0),0)</f>
        <v>0</v>
      </c>
      <c r="Z117">
        <f>IFERROR(VLOOKUP(Проливка[[#This Row],[ID]]*1,'Срок хранения'!A117:C215,3,0),0)</f>
        <v>0</v>
      </c>
    </row>
    <row r="118" spans="1:26" x14ac:dyDescent="0.25">
      <c r="A118" s="9"/>
      <c r="B118" s="12" t="str">
        <f t="shared" si="5"/>
        <v xml:space="preserve"> </v>
      </c>
      <c r="C118" s="10" t="str">
        <f t="shared" si="4"/>
        <v xml:space="preserve"> </v>
      </c>
      <c r="D118" s="10">
        <f t="shared" si="6"/>
        <v>0</v>
      </c>
      <c r="E118" s="10">
        <f t="shared" si="7"/>
        <v>0</v>
      </c>
      <c r="W118" t="str">
        <f>IFERROR(MID(Проливка[[#This Row],[Штрихкод ]],1,FIND("-",Проливка[[#This Row],[Штрихкод ]],1)-1)," ")</f>
        <v xml:space="preserve"> </v>
      </c>
      <c r="X118" t="str">
        <f>IFERROR(RIGHT(Проливка[[#This Row],[Штрихкод ]],LEN(Проливка[[#This Row],[Штрихкод ]])-SEARCH("-",Проливка[[#This Row],[Штрихкод ]],1))," ")</f>
        <v xml:space="preserve"> </v>
      </c>
      <c r="Y118">
        <f>IFERROR(VLOOKUP(Проливка[[#This Row],[ID]]*1,'Срок хранения'!A118:B216,2,0),0)</f>
        <v>0</v>
      </c>
      <c r="Z118">
        <f>IFERROR(VLOOKUP(Проливка[[#This Row],[ID]]*1,'Срок хранения'!A118:C216,3,0),0)</f>
        <v>0</v>
      </c>
    </row>
    <row r="119" spans="1:26" x14ac:dyDescent="0.25">
      <c r="A119" s="9"/>
      <c r="B119" s="12" t="str">
        <f t="shared" si="5"/>
        <v xml:space="preserve"> </v>
      </c>
      <c r="C119" s="10" t="str">
        <f t="shared" si="4"/>
        <v xml:space="preserve"> </v>
      </c>
      <c r="D119" s="10">
        <f t="shared" si="6"/>
        <v>0</v>
      </c>
      <c r="E119" s="10">
        <f t="shared" si="7"/>
        <v>0</v>
      </c>
      <c r="W119" t="str">
        <f>IFERROR(MID(Проливка[[#This Row],[Штрихкод ]],1,FIND("-",Проливка[[#This Row],[Штрихкод ]],1)-1)," ")</f>
        <v xml:space="preserve"> </v>
      </c>
      <c r="X119" t="str">
        <f>IFERROR(RIGHT(Проливка[[#This Row],[Штрихкод ]],LEN(Проливка[[#This Row],[Штрихкод ]])-SEARCH("-",Проливка[[#This Row],[Штрихкод ]],1))," ")</f>
        <v xml:space="preserve"> </v>
      </c>
      <c r="Y119">
        <f>IFERROR(VLOOKUP(Проливка[[#This Row],[ID]]*1,'Срок хранения'!A119:B217,2,0),0)</f>
        <v>0</v>
      </c>
      <c r="Z119">
        <f>IFERROR(VLOOKUP(Проливка[[#This Row],[ID]]*1,'Срок хранения'!A119:C217,3,0),0)</f>
        <v>0</v>
      </c>
    </row>
    <row r="120" spans="1:26" x14ac:dyDescent="0.25">
      <c r="A120" s="9"/>
      <c r="B120" s="12" t="str">
        <f t="shared" si="5"/>
        <v xml:space="preserve"> </v>
      </c>
      <c r="C120" s="10" t="str">
        <f t="shared" si="4"/>
        <v xml:space="preserve"> </v>
      </c>
      <c r="D120" s="10">
        <f t="shared" si="6"/>
        <v>0</v>
      </c>
      <c r="E120" s="10">
        <f t="shared" si="7"/>
        <v>0</v>
      </c>
      <c r="W120" t="str">
        <f>IFERROR(MID(Проливка[[#This Row],[Штрихкод ]],1,FIND("-",Проливка[[#This Row],[Штрихкод ]],1)-1)," ")</f>
        <v xml:space="preserve"> </v>
      </c>
      <c r="X120" t="str">
        <f>IFERROR(RIGHT(Проливка[[#This Row],[Штрихкод ]],LEN(Проливка[[#This Row],[Штрихкод ]])-SEARCH("-",Проливка[[#This Row],[Штрихкод ]],1))," ")</f>
        <v xml:space="preserve"> </v>
      </c>
      <c r="Y120">
        <f>IFERROR(VLOOKUP(Проливка[[#This Row],[ID]]*1,'Срок хранения'!A120:B218,2,0),0)</f>
        <v>0</v>
      </c>
      <c r="Z120">
        <f>IFERROR(VLOOKUP(Проливка[[#This Row],[ID]]*1,'Срок хранения'!A120:C218,3,0),0)</f>
        <v>0</v>
      </c>
    </row>
    <row r="121" spans="1:26" x14ac:dyDescent="0.25">
      <c r="A121" s="9"/>
      <c r="B121" s="12" t="str">
        <f t="shared" si="5"/>
        <v xml:space="preserve"> </v>
      </c>
      <c r="C121" s="10" t="str">
        <f t="shared" si="4"/>
        <v xml:space="preserve"> </v>
      </c>
      <c r="D121" s="10">
        <f t="shared" si="6"/>
        <v>0</v>
      </c>
      <c r="E121" s="10">
        <f t="shared" si="7"/>
        <v>0</v>
      </c>
      <c r="W121" t="str">
        <f>IFERROR(MID(Проливка[[#This Row],[Штрихкод ]],1,FIND("-",Проливка[[#This Row],[Штрихкод ]],1)-1)," ")</f>
        <v xml:space="preserve"> </v>
      </c>
      <c r="X121" t="str">
        <f>IFERROR(RIGHT(Проливка[[#This Row],[Штрихкод ]],LEN(Проливка[[#This Row],[Штрихкод ]])-SEARCH("-",Проливка[[#This Row],[Штрихкод ]],1))," ")</f>
        <v xml:space="preserve"> </v>
      </c>
      <c r="Y121">
        <f>IFERROR(VLOOKUP(Проливка[[#This Row],[ID]]*1,'Срок хранения'!A121:B219,2,0),0)</f>
        <v>0</v>
      </c>
      <c r="Z121">
        <f>IFERROR(VLOOKUP(Проливка[[#This Row],[ID]]*1,'Срок хранения'!A121:C219,3,0),0)</f>
        <v>0</v>
      </c>
    </row>
    <row r="122" spans="1:26" x14ac:dyDescent="0.25">
      <c r="A122" s="9"/>
      <c r="B122" s="12" t="str">
        <f t="shared" si="5"/>
        <v xml:space="preserve"> </v>
      </c>
      <c r="C122" s="10" t="str">
        <f t="shared" si="4"/>
        <v xml:space="preserve"> </v>
      </c>
      <c r="D122" s="10">
        <f t="shared" si="6"/>
        <v>0</v>
      </c>
      <c r="E122" s="10">
        <f t="shared" si="7"/>
        <v>0</v>
      </c>
      <c r="W122" t="str">
        <f>IFERROR(MID(Проливка[[#This Row],[Штрихкод ]],1,FIND("-",Проливка[[#This Row],[Штрихкод ]],1)-1)," ")</f>
        <v xml:space="preserve"> </v>
      </c>
      <c r="X122" t="str">
        <f>IFERROR(RIGHT(Проливка[[#This Row],[Штрихкод ]],LEN(Проливка[[#This Row],[Штрихкод ]])-SEARCH("-",Проливка[[#This Row],[Штрихкод ]],1))," ")</f>
        <v xml:space="preserve"> </v>
      </c>
      <c r="Y122">
        <f>IFERROR(VLOOKUP(Проливка[[#This Row],[ID]]*1,'Срок хранения'!A122:B220,2,0),0)</f>
        <v>0</v>
      </c>
      <c r="Z122">
        <f>IFERROR(VLOOKUP(Проливка[[#This Row],[ID]]*1,'Срок хранения'!A122:C220,3,0),0)</f>
        <v>0</v>
      </c>
    </row>
    <row r="123" spans="1:26" x14ac:dyDescent="0.25">
      <c r="A123" s="9"/>
      <c r="B123" s="12" t="str">
        <f t="shared" si="5"/>
        <v xml:space="preserve"> </v>
      </c>
      <c r="C123" s="10" t="str">
        <f t="shared" si="4"/>
        <v xml:space="preserve"> </v>
      </c>
      <c r="D123" s="10">
        <f t="shared" si="6"/>
        <v>0</v>
      </c>
      <c r="E123" s="10">
        <f t="shared" si="7"/>
        <v>0</v>
      </c>
      <c r="W123" t="str">
        <f>IFERROR(MID(Проливка[[#This Row],[Штрихкод ]],1,FIND("-",Проливка[[#This Row],[Штрихкод ]],1)-1)," ")</f>
        <v xml:space="preserve"> </v>
      </c>
      <c r="X123" t="str">
        <f>IFERROR(RIGHT(Проливка[[#This Row],[Штрихкод ]],LEN(Проливка[[#This Row],[Штрихкод ]])-SEARCH("-",Проливка[[#This Row],[Штрихкод ]],1))," ")</f>
        <v xml:space="preserve"> </v>
      </c>
      <c r="Y123">
        <f>IFERROR(VLOOKUP(Проливка[[#This Row],[ID]]*1,'Срок хранения'!A123:B221,2,0),0)</f>
        <v>0</v>
      </c>
      <c r="Z123">
        <f>IFERROR(VLOOKUP(Проливка[[#This Row],[ID]]*1,'Срок хранения'!A123:C221,3,0),0)</f>
        <v>0</v>
      </c>
    </row>
    <row r="124" spans="1:26" x14ac:dyDescent="0.25">
      <c r="A124" s="9"/>
      <c r="B124" s="12" t="str">
        <f t="shared" si="5"/>
        <v xml:space="preserve"> </v>
      </c>
      <c r="C124" s="10" t="str">
        <f t="shared" si="4"/>
        <v xml:space="preserve"> </v>
      </c>
      <c r="D124" s="10">
        <f t="shared" si="6"/>
        <v>0</v>
      </c>
      <c r="E124" s="10">
        <f t="shared" si="7"/>
        <v>0</v>
      </c>
      <c r="W124" t="str">
        <f>IFERROR(MID(Проливка[[#This Row],[Штрихкод ]],1,FIND("-",Проливка[[#This Row],[Штрихкод ]],1)-1)," ")</f>
        <v xml:space="preserve"> </v>
      </c>
      <c r="X124" t="str">
        <f>IFERROR(RIGHT(Проливка[[#This Row],[Штрихкод ]],LEN(Проливка[[#This Row],[Штрихкод ]])-SEARCH("-",Проливка[[#This Row],[Штрихкод ]],1))," ")</f>
        <v xml:space="preserve"> </v>
      </c>
      <c r="Y124">
        <f>IFERROR(VLOOKUP(Проливка[[#This Row],[ID]]*1,'Срок хранения'!A124:B222,2,0),0)</f>
        <v>0</v>
      </c>
      <c r="Z124">
        <f>IFERROR(VLOOKUP(Проливка[[#This Row],[ID]]*1,'Срок хранения'!A124:C222,3,0),0)</f>
        <v>0</v>
      </c>
    </row>
    <row r="125" spans="1:26" x14ac:dyDescent="0.25">
      <c r="A125" s="9"/>
      <c r="B125" s="12" t="str">
        <f t="shared" si="5"/>
        <v xml:space="preserve"> </v>
      </c>
      <c r="C125" s="10" t="str">
        <f t="shared" si="4"/>
        <v xml:space="preserve"> </v>
      </c>
      <c r="D125" s="10">
        <f t="shared" si="6"/>
        <v>0</v>
      </c>
      <c r="E125" s="10">
        <f t="shared" si="7"/>
        <v>0</v>
      </c>
      <c r="W125" t="str">
        <f>IFERROR(MID(Проливка[[#This Row],[Штрихкод ]],1,FIND("-",Проливка[[#This Row],[Штрихкод ]],1)-1)," ")</f>
        <v xml:space="preserve"> </v>
      </c>
      <c r="X125" t="str">
        <f>IFERROR(RIGHT(Проливка[[#This Row],[Штрихкод ]],LEN(Проливка[[#This Row],[Штрихкод ]])-SEARCH("-",Проливка[[#This Row],[Штрихкод ]],1))," ")</f>
        <v xml:space="preserve"> </v>
      </c>
      <c r="Y125">
        <f>IFERROR(VLOOKUP(Проливка[[#This Row],[ID]]*1,'Срок хранения'!A125:B223,2,0),0)</f>
        <v>0</v>
      </c>
      <c r="Z125">
        <f>IFERROR(VLOOKUP(Проливка[[#This Row],[ID]]*1,'Срок хранения'!A125:C223,3,0),0)</f>
        <v>0</v>
      </c>
    </row>
    <row r="126" spans="1:26" x14ac:dyDescent="0.25">
      <c r="A126" s="9"/>
      <c r="B126" s="12" t="str">
        <f t="shared" si="5"/>
        <v xml:space="preserve"> </v>
      </c>
      <c r="C126" s="10" t="str">
        <f t="shared" si="4"/>
        <v xml:space="preserve"> </v>
      </c>
      <c r="D126" s="10">
        <f t="shared" si="6"/>
        <v>0</v>
      </c>
      <c r="E126" s="10">
        <f t="shared" si="7"/>
        <v>0</v>
      </c>
      <c r="W126" t="str">
        <f>IFERROR(MID(Проливка[[#This Row],[Штрихкод ]],1,FIND("-",Проливка[[#This Row],[Штрихкод ]],1)-1)," ")</f>
        <v xml:space="preserve"> </v>
      </c>
      <c r="X126" t="str">
        <f>IFERROR(RIGHT(Проливка[[#This Row],[Штрихкод ]],LEN(Проливка[[#This Row],[Штрихкод ]])-SEARCH("-",Проливка[[#This Row],[Штрихкод ]],1))," ")</f>
        <v xml:space="preserve"> </v>
      </c>
      <c r="Y126">
        <f>IFERROR(VLOOKUP(Проливка[[#This Row],[ID]]*1,'Срок хранения'!A126:B224,2,0),0)</f>
        <v>0</v>
      </c>
      <c r="Z126">
        <f>IFERROR(VLOOKUP(Проливка[[#This Row],[ID]]*1,'Срок хранения'!A126:C224,3,0),0)</f>
        <v>0</v>
      </c>
    </row>
    <row r="127" spans="1:26" x14ac:dyDescent="0.25">
      <c r="A127" s="9"/>
      <c r="B127" s="12" t="str">
        <f t="shared" si="5"/>
        <v xml:space="preserve"> </v>
      </c>
      <c r="C127" s="10" t="str">
        <f t="shared" si="4"/>
        <v xml:space="preserve"> </v>
      </c>
      <c r="D127" s="10">
        <f t="shared" si="6"/>
        <v>0</v>
      </c>
      <c r="E127" s="10">
        <f t="shared" si="7"/>
        <v>0</v>
      </c>
      <c r="W127" t="str">
        <f>IFERROR(MID(Проливка[[#This Row],[Штрихкод ]],1,FIND("-",Проливка[[#This Row],[Штрихкод ]],1)-1)," ")</f>
        <v xml:space="preserve"> </v>
      </c>
      <c r="X127" t="str">
        <f>IFERROR(RIGHT(Проливка[[#This Row],[Штрихкод ]],LEN(Проливка[[#This Row],[Штрихкод ]])-SEARCH("-",Проливка[[#This Row],[Штрихкод ]],1))," ")</f>
        <v xml:space="preserve"> </v>
      </c>
      <c r="Y127">
        <f>IFERROR(VLOOKUP(Проливка[[#This Row],[ID]]*1,'Срок хранения'!A127:B225,2,0),0)</f>
        <v>0</v>
      </c>
      <c r="Z127">
        <f>IFERROR(VLOOKUP(Проливка[[#This Row],[ID]]*1,'Срок хранения'!A127:C225,3,0),0)</f>
        <v>0</v>
      </c>
    </row>
    <row r="128" spans="1:26" x14ac:dyDescent="0.25">
      <c r="A128" s="9"/>
      <c r="B128" s="12" t="str">
        <f t="shared" si="5"/>
        <v xml:space="preserve"> </v>
      </c>
      <c r="C128" s="10" t="str">
        <f t="shared" si="4"/>
        <v xml:space="preserve"> </v>
      </c>
      <c r="D128" s="10">
        <f t="shared" si="6"/>
        <v>0</v>
      </c>
      <c r="E128" s="10">
        <f t="shared" si="7"/>
        <v>0</v>
      </c>
      <c r="W128" t="str">
        <f>IFERROR(MID(Проливка[[#This Row],[Штрихкод ]],1,FIND("-",Проливка[[#This Row],[Штрихкод ]],1)-1)," ")</f>
        <v xml:space="preserve"> </v>
      </c>
      <c r="X128" t="str">
        <f>IFERROR(RIGHT(Проливка[[#This Row],[Штрихкод ]],LEN(Проливка[[#This Row],[Штрихкод ]])-SEARCH("-",Проливка[[#This Row],[Штрихкод ]],1))," ")</f>
        <v xml:space="preserve"> </v>
      </c>
      <c r="Y128">
        <f>IFERROR(VLOOKUP(Проливка[[#This Row],[ID]]*1,'Срок хранения'!A128:B226,2,0),0)</f>
        <v>0</v>
      </c>
      <c r="Z128">
        <f>IFERROR(VLOOKUP(Проливка[[#This Row],[ID]]*1,'Срок хранения'!A128:C226,3,0),0)</f>
        <v>0</v>
      </c>
    </row>
    <row r="129" spans="1:26" x14ac:dyDescent="0.25">
      <c r="A129" s="9"/>
      <c r="B129" s="12" t="str">
        <f t="shared" si="5"/>
        <v xml:space="preserve"> </v>
      </c>
      <c r="C129" s="10" t="str">
        <f t="shared" si="4"/>
        <v xml:space="preserve"> </v>
      </c>
      <c r="D129" s="10">
        <f t="shared" si="6"/>
        <v>0</v>
      </c>
      <c r="E129" s="10">
        <f t="shared" si="7"/>
        <v>0</v>
      </c>
      <c r="W129" t="str">
        <f>IFERROR(MID(Проливка[[#This Row],[Штрихкод ]],1,FIND("-",Проливка[[#This Row],[Штрихкод ]],1)-1)," ")</f>
        <v xml:space="preserve"> </v>
      </c>
      <c r="X129" t="str">
        <f>IFERROR(RIGHT(Проливка[[#This Row],[Штрихкод ]],LEN(Проливка[[#This Row],[Штрихкод ]])-SEARCH("-",Проливка[[#This Row],[Штрихкод ]],1))," ")</f>
        <v xml:space="preserve"> </v>
      </c>
      <c r="Y129">
        <f>IFERROR(VLOOKUP(Проливка[[#This Row],[ID]]*1,'Срок хранения'!A129:B227,2,0),0)</f>
        <v>0</v>
      </c>
      <c r="Z129">
        <f>IFERROR(VLOOKUP(Проливка[[#This Row],[ID]]*1,'Срок хранения'!A129:C227,3,0),0)</f>
        <v>0</v>
      </c>
    </row>
    <row r="130" spans="1:26" x14ac:dyDescent="0.25">
      <c r="A130" s="9"/>
      <c r="B130" s="12" t="str">
        <f t="shared" si="5"/>
        <v xml:space="preserve"> </v>
      </c>
      <c r="C130" s="10" t="str">
        <f t="shared" ref="C130:C193" si="8">X130</f>
        <v xml:space="preserve"> </v>
      </c>
      <c r="D130" s="10">
        <f t="shared" si="6"/>
        <v>0</v>
      </c>
      <c r="E130" s="10">
        <f t="shared" si="7"/>
        <v>0</v>
      </c>
      <c r="W130" t="str">
        <f>IFERROR(MID(Проливка[[#This Row],[Штрихкод ]],1,FIND("-",Проливка[[#This Row],[Штрихкод ]],1)-1)," ")</f>
        <v xml:space="preserve"> </v>
      </c>
      <c r="X130" t="str">
        <f>IFERROR(RIGHT(Проливка[[#This Row],[Штрихкод ]],LEN(Проливка[[#This Row],[Штрихкод ]])-SEARCH("-",Проливка[[#This Row],[Штрихкод ]],1))," ")</f>
        <v xml:space="preserve"> </v>
      </c>
      <c r="Y130">
        <f>IFERROR(VLOOKUP(Проливка[[#This Row],[ID]]*1,'Срок хранения'!A130:B228,2,0),0)</f>
        <v>0</v>
      </c>
      <c r="Z130">
        <f>IFERROR(VLOOKUP(Проливка[[#This Row],[ID]]*1,'Срок хранения'!A130:C228,3,0),0)</f>
        <v>0</v>
      </c>
    </row>
    <row r="131" spans="1:26" x14ac:dyDescent="0.25">
      <c r="A131" s="9"/>
      <c r="B131" s="12" t="str">
        <f t="shared" ref="B131:B194" si="9">W131</f>
        <v xml:space="preserve"> </v>
      </c>
      <c r="C131" s="10" t="str">
        <f t="shared" si="8"/>
        <v xml:space="preserve"> </v>
      </c>
      <c r="D131" s="10">
        <f t="shared" ref="D131:D194" si="10">Y131</f>
        <v>0</v>
      </c>
      <c r="E131" s="10">
        <f t="shared" ref="E131:E194" si="11">Z131</f>
        <v>0</v>
      </c>
      <c r="W131" t="str">
        <f>IFERROR(MID(Проливка[[#This Row],[Штрихкод ]],1,FIND("-",Проливка[[#This Row],[Штрихкод ]],1)-1)," ")</f>
        <v xml:space="preserve"> </v>
      </c>
      <c r="X131" t="str">
        <f>IFERROR(RIGHT(Проливка[[#This Row],[Штрихкод ]],LEN(Проливка[[#This Row],[Штрихкод ]])-SEARCH("-",Проливка[[#This Row],[Штрихкод ]],1))," ")</f>
        <v xml:space="preserve"> </v>
      </c>
      <c r="Y131">
        <f>IFERROR(VLOOKUP(Проливка[[#This Row],[ID]]*1,'Срок хранения'!A131:B229,2,0),0)</f>
        <v>0</v>
      </c>
      <c r="Z131">
        <f>IFERROR(VLOOKUP(Проливка[[#This Row],[ID]]*1,'Срок хранения'!A131:C229,3,0),0)</f>
        <v>0</v>
      </c>
    </row>
    <row r="132" spans="1:26" x14ac:dyDescent="0.25">
      <c r="A132" s="9"/>
      <c r="B132" s="12" t="str">
        <f t="shared" si="9"/>
        <v xml:space="preserve"> </v>
      </c>
      <c r="C132" s="10" t="str">
        <f t="shared" si="8"/>
        <v xml:space="preserve"> </v>
      </c>
      <c r="D132" s="10">
        <f t="shared" si="10"/>
        <v>0</v>
      </c>
      <c r="E132" s="10">
        <f t="shared" si="11"/>
        <v>0</v>
      </c>
      <c r="W132" t="str">
        <f>IFERROR(MID(Проливка[[#This Row],[Штрихкод ]],1,FIND("-",Проливка[[#This Row],[Штрихкод ]],1)-1)," ")</f>
        <v xml:space="preserve"> </v>
      </c>
      <c r="X132" t="str">
        <f>IFERROR(RIGHT(Проливка[[#This Row],[Штрихкод ]],LEN(Проливка[[#This Row],[Штрихкод ]])-SEARCH("-",Проливка[[#This Row],[Штрихкод ]],1))," ")</f>
        <v xml:space="preserve"> </v>
      </c>
      <c r="Y132">
        <f>IFERROR(VLOOKUP(Проливка[[#This Row],[ID]]*1,'Срок хранения'!A132:B230,2,0),0)</f>
        <v>0</v>
      </c>
      <c r="Z132">
        <f>IFERROR(VLOOKUP(Проливка[[#This Row],[ID]]*1,'Срок хранения'!A132:C230,3,0),0)</f>
        <v>0</v>
      </c>
    </row>
    <row r="133" spans="1:26" x14ac:dyDescent="0.25">
      <c r="A133" s="9"/>
      <c r="B133" s="12" t="str">
        <f t="shared" si="9"/>
        <v xml:space="preserve"> </v>
      </c>
      <c r="C133" s="10" t="str">
        <f t="shared" si="8"/>
        <v xml:space="preserve"> </v>
      </c>
      <c r="D133" s="10">
        <f t="shared" si="10"/>
        <v>0</v>
      </c>
      <c r="E133" s="10">
        <f t="shared" si="11"/>
        <v>0</v>
      </c>
      <c r="W133" t="str">
        <f>IFERROR(MID(Проливка[[#This Row],[Штрихкод ]],1,FIND("-",Проливка[[#This Row],[Штрихкод ]],1)-1)," ")</f>
        <v xml:space="preserve"> </v>
      </c>
      <c r="X133" t="str">
        <f>IFERROR(RIGHT(Проливка[[#This Row],[Штрихкод ]],LEN(Проливка[[#This Row],[Штрихкод ]])-SEARCH("-",Проливка[[#This Row],[Штрихкод ]],1))," ")</f>
        <v xml:space="preserve"> </v>
      </c>
      <c r="Y133">
        <f>IFERROR(VLOOKUP(Проливка[[#This Row],[ID]]*1,'Срок хранения'!A133:B231,2,0),0)</f>
        <v>0</v>
      </c>
      <c r="Z133">
        <f>IFERROR(VLOOKUP(Проливка[[#This Row],[ID]]*1,'Срок хранения'!A133:C231,3,0),0)</f>
        <v>0</v>
      </c>
    </row>
    <row r="134" spans="1:26" x14ac:dyDescent="0.25">
      <c r="A134" s="9"/>
      <c r="B134" s="12" t="str">
        <f t="shared" si="9"/>
        <v xml:space="preserve"> </v>
      </c>
      <c r="C134" s="10" t="str">
        <f t="shared" si="8"/>
        <v xml:space="preserve"> </v>
      </c>
      <c r="D134" s="10">
        <f t="shared" si="10"/>
        <v>0</v>
      </c>
      <c r="E134" s="10">
        <f t="shared" si="11"/>
        <v>0</v>
      </c>
      <c r="W134" t="str">
        <f>IFERROR(MID(Проливка[[#This Row],[Штрихкод ]],1,FIND("-",Проливка[[#This Row],[Штрихкод ]],1)-1)," ")</f>
        <v xml:space="preserve"> </v>
      </c>
      <c r="X134" t="str">
        <f>IFERROR(RIGHT(Проливка[[#This Row],[Штрихкод ]],LEN(Проливка[[#This Row],[Штрихкод ]])-SEARCH("-",Проливка[[#This Row],[Штрихкод ]],1))," ")</f>
        <v xml:space="preserve"> </v>
      </c>
      <c r="Y134">
        <f>IFERROR(VLOOKUP(Проливка[[#This Row],[ID]]*1,'Срок хранения'!A134:B232,2,0),0)</f>
        <v>0</v>
      </c>
      <c r="Z134">
        <f>IFERROR(VLOOKUP(Проливка[[#This Row],[ID]]*1,'Срок хранения'!A134:C232,3,0),0)</f>
        <v>0</v>
      </c>
    </row>
    <row r="135" spans="1:26" x14ac:dyDescent="0.25">
      <c r="A135" s="9"/>
      <c r="B135" s="12" t="str">
        <f t="shared" si="9"/>
        <v xml:space="preserve"> </v>
      </c>
      <c r="C135" s="10" t="str">
        <f t="shared" si="8"/>
        <v xml:space="preserve"> </v>
      </c>
      <c r="D135" s="10">
        <f t="shared" si="10"/>
        <v>0</v>
      </c>
      <c r="E135" s="10">
        <f t="shared" si="11"/>
        <v>0</v>
      </c>
      <c r="W135" t="str">
        <f>IFERROR(MID(Проливка[[#This Row],[Штрихкод ]],1,FIND("-",Проливка[[#This Row],[Штрихкод ]],1)-1)," ")</f>
        <v xml:space="preserve"> </v>
      </c>
      <c r="X135" t="str">
        <f>IFERROR(RIGHT(Проливка[[#This Row],[Штрихкод ]],LEN(Проливка[[#This Row],[Штрихкод ]])-SEARCH("-",Проливка[[#This Row],[Штрихкод ]],1))," ")</f>
        <v xml:space="preserve"> </v>
      </c>
      <c r="Y135">
        <f>IFERROR(VLOOKUP(Проливка[[#This Row],[ID]]*1,'Срок хранения'!A135:B233,2,0),0)</f>
        <v>0</v>
      </c>
      <c r="Z135">
        <f>IFERROR(VLOOKUP(Проливка[[#This Row],[ID]]*1,'Срок хранения'!A135:C233,3,0),0)</f>
        <v>0</v>
      </c>
    </row>
    <row r="136" spans="1:26" x14ac:dyDescent="0.25">
      <c r="A136" s="9"/>
      <c r="B136" s="12" t="str">
        <f t="shared" si="9"/>
        <v xml:space="preserve"> </v>
      </c>
      <c r="C136" s="10" t="str">
        <f t="shared" si="8"/>
        <v xml:space="preserve"> </v>
      </c>
      <c r="D136" s="10">
        <f t="shared" si="10"/>
        <v>0</v>
      </c>
      <c r="E136" s="10">
        <f t="shared" si="11"/>
        <v>0</v>
      </c>
      <c r="W136" t="str">
        <f>IFERROR(MID(Проливка[[#This Row],[Штрихкод ]],1,FIND("-",Проливка[[#This Row],[Штрихкод ]],1)-1)," ")</f>
        <v xml:space="preserve"> </v>
      </c>
      <c r="X136" t="str">
        <f>IFERROR(RIGHT(Проливка[[#This Row],[Штрихкод ]],LEN(Проливка[[#This Row],[Штрихкод ]])-SEARCH("-",Проливка[[#This Row],[Штрихкод ]],1))," ")</f>
        <v xml:space="preserve"> </v>
      </c>
      <c r="Y136">
        <f>IFERROR(VLOOKUP(Проливка[[#This Row],[ID]]*1,'Срок хранения'!A136:B234,2,0),0)</f>
        <v>0</v>
      </c>
      <c r="Z136">
        <f>IFERROR(VLOOKUP(Проливка[[#This Row],[ID]]*1,'Срок хранения'!A136:C234,3,0),0)</f>
        <v>0</v>
      </c>
    </row>
    <row r="137" spans="1:26" x14ac:dyDescent="0.25">
      <c r="A137" s="9"/>
      <c r="B137" s="12" t="str">
        <f t="shared" si="9"/>
        <v xml:space="preserve"> </v>
      </c>
      <c r="C137" s="10" t="str">
        <f t="shared" si="8"/>
        <v xml:space="preserve"> </v>
      </c>
      <c r="D137" s="10">
        <f t="shared" si="10"/>
        <v>0</v>
      </c>
      <c r="E137" s="10">
        <f t="shared" si="11"/>
        <v>0</v>
      </c>
      <c r="W137" t="str">
        <f>IFERROR(MID(Проливка[[#This Row],[Штрихкод ]],1,FIND("-",Проливка[[#This Row],[Штрихкод ]],1)-1)," ")</f>
        <v xml:space="preserve"> </v>
      </c>
      <c r="X137" t="str">
        <f>IFERROR(RIGHT(Проливка[[#This Row],[Штрихкод ]],LEN(Проливка[[#This Row],[Штрихкод ]])-SEARCH("-",Проливка[[#This Row],[Штрихкод ]],1))," ")</f>
        <v xml:space="preserve"> </v>
      </c>
      <c r="Y137">
        <f>IFERROR(VLOOKUP(Проливка[[#This Row],[ID]]*1,'Срок хранения'!A137:B235,2,0),0)</f>
        <v>0</v>
      </c>
      <c r="Z137">
        <f>IFERROR(VLOOKUP(Проливка[[#This Row],[ID]]*1,'Срок хранения'!A137:C235,3,0),0)</f>
        <v>0</v>
      </c>
    </row>
    <row r="138" spans="1:26" x14ac:dyDescent="0.25">
      <c r="A138" s="9"/>
      <c r="B138" s="12" t="str">
        <f t="shared" si="9"/>
        <v xml:space="preserve"> </v>
      </c>
      <c r="C138" s="10" t="str">
        <f t="shared" si="8"/>
        <v xml:space="preserve"> </v>
      </c>
      <c r="D138" s="10">
        <f t="shared" si="10"/>
        <v>0</v>
      </c>
      <c r="E138" s="10">
        <f t="shared" si="11"/>
        <v>0</v>
      </c>
      <c r="W138" t="str">
        <f>IFERROR(MID(Проливка[[#This Row],[Штрихкод ]],1,FIND("-",Проливка[[#This Row],[Штрихкод ]],1)-1)," ")</f>
        <v xml:space="preserve"> </v>
      </c>
      <c r="X138" t="str">
        <f>IFERROR(RIGHT(Проливка[[#This Row],[Штрихкод ]],LEN(Проливка[[#This Row],[Штрихкод ]])-SEARCH("-",Проливка[[#This Row],[Штрихкод ]],1))," ")</f>
        <v xml:space="preserve"> </v>
      </c>
      <c r="Y138">
        <f>IFERROR(VLOOKUP(Проливка[[#This Row],[ID]]*1,'Срок хранения'!A138:B236,2,0),0)</f>
        <v>0</v>
      </c>
      <c r="Z138">
        <f>IFERROR(VLOOKUP(Проливка[[#This Row],[ID]]*1,'Срок хранения'!A138:C236,3,0),0)</f>
        <v>0</v>
      </c>
    </row>
    <row r="139" spans="1:26" x14ac:dyDescent="0.25">
      <c r="A139" s="9"/>
      <c r="B139" s="12" t="str">
        <f t="shared" si="9"/>
        <v xml:space="preserve"> </v>
      </c>
      <c r="C139" s="10" t="str">
        <f t="shared" si="8"/>
        <v xml:space="preserve"> </v>
      </c>
      <c r="D139" s="10">
        <f t="shared" si="10"/>
        <v>0</v>
      </c>
      <c r="E139" s="10">
        <f t="shared" si="11"/>
        <v>0</v>
      </c>
      <c r="W139" t="str">
        <f>IFERROR(MID(Проливка[[#This Row],[Штрихкод ]],1,FIND("-",Проливка[[#This Row],[Штрихкод ]],1)-1)," ")</f>
        <v xml:space="preserve"> </v>
      </c>
      <c r="X139" t="str">
        <f>IFERROR(RIGHT(Проливка[[#This Row],[Штрихкод ]],LEN(Проливка[[#This Row],[Штрихкод ]])-SEARCH("-",Проливка[[#This Row],[Штрихкод ]],1))," ")</f>
        <v xml:space="preserve"> </v>
      </c>
      <c r="Y139">
        <f>IFERROR(VLOOKUP(Проливка[[#This Row],[ID]]*1,'Срок хранения'!A139:B237,2,0),0)</f>
        <v>0</v>
      </c>
      <c r="Z139">
        <f>IFERROR(VLOOKUP(Проливка[[#This Row],[ID]]*1,'Срок хранения'!A139:C237,3,0),0)</f>
        <v>0</v>
      </c>
    </row>
    <row r="140" spans="1:26" x14ac:dyDescent="0.25">
      <c r="A140" s="9"/>
      <c r="B140" s="12" t="str">
        <f t="shared" si="9"/>
        <v xml:space="preserve"> </v>
      </c>
      <c r="C140" s="10" t="str">
        <f t="shared" si="8"/>
        <v xml:space="preserve"> </v>
      </c>
      <c r="D140" s="10">
        <f t="shared" si="10"/>
        <v>0</v>
      </c>
      <c r="E140" s="10">
        <f t="shared" si="11"/>
        <v>0</v>
      </c>
      <c r="W140" t="str">
        <f>IFERROR(MID(Проливка[[#This Row],[Штрихкод ]],1,FIND("-",Проливка[[#This Row],[Штрихкод ]],1)-1)," ")</f>
        <v xml:space="preserve"> </v>
      </c>
      <c r="X140" t="str">
        <f>IFERROR(RIGHT(Проливка[[#This Row],[Штрихкод ]],LEN(Проливка[[#This Row],[Штрихкод ]])-SEARCH("-",Проливка[[#This Row],[Штрихкод ]],1))," ")</f>
        <v xml:space="preserve"> </v>
      </c>
      <c r="Y140">
        <f>IFERROR(VLOOKUP(Проливка[[#This Row],[ID]]*1,'Срок хранения'!A140:B238,2,0),0)</f>
        <v>0</v>
      </c>
      <c r="Z140">
        <f>IFERROR(VLOOKUP(Проливка[[#This Row],[ID]]*1,'Срок хранения'!A140:C238,3,0),0)</f>
        <v>0</v>
      </c>
    </row>
    <row r="141" spans="1:26" x14ac:dyDescent="0.25">
      <c r="A141" s="9"/>
      <c r="B141" s="12" t="str">
        <f t="shared" si="9"/>
        <v xml:space="preserve"> </v>
      </c>
      <c r="C141" s="10" t="str">
        <f t="shared" si="8"/>
        <v xml:space="preserve"> </v>
      </c>
      <c r="D141" s="10">
        <f t="shared" si="10"/>
        <v>0</v>
      </c>
      <c r="E141" s="10">
        <f t="shared" si="11"/>
        <v>0</v>
      </c>
      <c r="W141" t="str">
        <f>IFERROR(MID(Проливка[[#This Row],[Штрихкод ]],1,FIND("-",Проливка[[#This Row],[Штрихкод ]],1)-1)," ")</f>
        <v xml:space="preserve"> </v>
      </c>
      <c r="X141" t="str">
        <f>IFERROR(RIGHT(Проливка[[#This Row],[Штрихкод ]],LEN(Проливка[[#This Row],[Штрихкод ]])-SEARCH("-",Проливка[[#This Row],[Штрихкод ]],1))," ")</f>
        <v xml:space="preserve"> </v>
      </c>
      <c r="Y141">
        <f>IFERROR(VLOOKUP(Проливка[[#This Row],[ID]]*1,'Срок хранения'!A141:B239,2,0),0)</f>
        <v>0</v>
      </c>
      <c r="Z141">
        <f>IFERROR(VLOOKUP(Проливка[[#This Row],[ID]]*1,'Срок хранения'!A141:C239,3,0),0)</f>
        <v>0</v>
      </c>
    </row>
    <row r="142" spans="1:26" x14ac:dyDescent="0.25">
      <c r="A142" s="9"/>
      <c r="B142" s="12" t="str">
        <f t="shared" si="9"/>
        <v xml:space="preserve"> </v>
      </c>
      <c r="C142" s="10" t="str">
        <f t="shared" si="8"/>
        <v xml:space="preserve"> </v>
      </c>
      <c r="D142" s="10">
        <f t="shared" si="10"/>
        <v>0</v>
      </c>
      <c r="E142" s="10">
        <f t="shared" si="11"/>
        <v>0</v>
      </c>
      <c r="W142" t="str">
        <f>IFERROR(MID(Проливка[[#This Row],[Штрихкод ]],1,FIND("-",Проливка[[#This Row],[Штрихкод ]],1)-1)," ")</f>
        <v xml:space="preserve"> </v>
      </c>
      <c r="X142" t="str">
        <f>IFERROR(RIGHT(Проливка[[#This Row],[Штрихкод ]],LEN(Проливка[[#This Row],[Штрихкод ]])-SEARCH("-",Проливка[[#This Row],[Штрихкод ]],1))," ")</f>
        <v xml:space="preserve"> </v>
      </c>
      <c r="Y142">
        <f>IFERROR(VLOOKUP(Проливка[[#This Row],[ID]]*1,'Срок хранения'!A142:B240,2,0),0)</f>
        <v>0</v>
      </c>
      <c r="Z142">
        <f>IFERROR(VLOOKUP(Проливка[[#This Row],[ID]]*1,'Срок хранения'!A142:C240,3,0),0)</f>
        <v>0</v>
      </c>
    </row>
    <row r="143" spans="1:26" x14ac:dyDescent="0.25">
      <c r="A143" s="9"/>
      <c r="B143" s="12" t="str">
        <f t="shared" si="9"/>
        <v xml:space="preserve"> </v>
      </c>
      <c r="C143" s="10" t="str">
        <f t="shared" si="8"/>
        <v xml:space="preserve"> </v>
      </c>
      <c r="D143" s="10">
        <f t="shared" si="10"/>
        <v>0</v>
      </c>
      <c r="E143" s="10">
        <f t="shared" si="11"/>
        <v>0</v>
      </c>
      <c r="W143" t="str">
        <f>IFERROR(MID(Проливка[[#This Row],[Штрихкод ]],1,FIND("-",Проливка[[#This Row],[Штрихкод ]],1)-1)," ")</f>
        <v xml:space="preserve"> </v>
      </c>
      <c r="X143" t="str">
        <f>IFERROR(RIGHT(Проливка[[#This Row],[Штрихкод ]],LEN(Проливка[[#This Row],[Штрихкод ]])-SEARCH("-",Проливка[[#This Row],[Штрихкод ]],1))," ")</f>
        <v xml:space="preserve"> </v>
      </c>
      <c r="Y143">
        <f>IFERROR(VLOOKUP(Проливка[[#This Row],[ID]]*1,'Срок хранения'!A143:B241,2,0),0)</f>
        <v>0</v>
      </c>
      <c r="Z143">
        <f>IFERROR(VLOOKUP(Проливка[[#This Row],[ID]]*1,'Срок хранения'!A143:C241,3,0),0)</f>
        <v>0</v>
      </c>
    </row>
    <row r="144" spans="1:26" x14ac:dyDescent="0.25">
      <c r="A144" s="9"/>
      <c r="B144" s="12" t="str">
        <f t="shared" si="9"/>
        <v xml:space="preserve"> </v>
      </c>
      <c r="C144" s="10" t="str">
        <f t="shared" si="8"/>
        <v xml:space="preserve"> </v>
      </c>
      <c r="D144" s="10">
        <f t="shared" si="10"/>
        <v>0</v>
      </c>
      <c r="E144" s="10">
        <f t="shared" si="11"/>
        <v>0</v>
      </c>
      <c r="W144" t="str">
        <f>IFERROR(MID(Проливка[[#This Row],[Штрихкод ]],1,FIND("-",Проливка[[#This Row],[Штрихкод ]],1)-1)," ")</f>
        <v xml:space="preserve"> </v>
      </c>
      <c r="X144" t="str">
        <f>IFERROR(RIGHT(Проливка[[#This Row],[Штрихкод ]],LEN(Проливка[[#This Row],[Штрихкод ]])-SEARCH("-",Проливка[[#This Row],[Штрихкод ]],1))," ")</f>
        <v xml:space="preserve"> </v>
      </c>
      <c r="Y144">
        <f>IFERROR(VLOOKUP(Проливка[[#This Row],[ID]]*1,'Срок хранения'!A144:B242,2,0),0)</f>
        <v>0</v>
      </c>
      <c r="Z144">
        <f>IFERROR(VLOOKUP(Проливка[[#This Row],[ID]]*1,'Срок хранения'!A144:C242,3,0),0)</f>
        <v>0</v>
      </c>
    </row>
    <row r="145" spans="1:26" x14ac:dyDescent="0.25">
      <c r="A145" s="9"/>
      <c r="B145" s="12" t="str">
        <f t="shared" si="9"/>
        <v xml:space="preserve"> </v>
      </c>
      <c r="C145" s="10" t="str">
        <f t="shared" si="8"/>
        <v xml:space="preserve"> </v>
      </c>
      <c r="D145" s="10">
        <f t="shared" si="10"/>
        <v>0</v>
      </c>
      <c r="E145" s="10">
        <f t="shared" si="11"/>
        <v>0</v>
      </c>
      <c r="W145" t="str">
        <f>IFERROR(MID(Проливка[[#This Row],[Штрихкод ]],1,FIND("-",Проливка[[#This Row],[Штрихкод ]],1)-1)," ")</f>
        <v xml:space="preserve"> </v>
      </c>
      <c r="X145" t="str">
        <f>IFERROR(RIGHT(Проливка[[#This Row],[Штрихкод ]],LEN(Проливка[[#This Row],[Штрихкод ]])-SEARCH("-",Проливка[[#This Row],[Штрихкод ]],1))," ")</f>
        <v xml:space="preserve"> </v>
      </c>
      <c r="Y145">
        <f>IFERROR(VLOOKUP(Проливка[[#This Row],[ID]]*1,'Срок хранения'!A145:B243,2,0),0)</f>
        <v>0</v>
      </c>
      <c r="Z145">
        <f>IFERROR(VLOOKUP(Проливка[[#This Row],[ID]]*1,'Срок хранения'!A145:C243,3,0),0)</f>
        <v>0</v>
      </c>
    </row>
    <row r="146" spans="1:26" x14ac:dyDescent="0.25">
      <c r="A146" s="9"/>
      <c r="B146" s="12" t="str">
        <f t="shared" si="9"/>
        <v xml:space="preserve"> </v>
      </c>
      <c r="C146" s="10" t="str">
        <f t="shared" si="8"/>
        <v xml:space="preserve"> </v>
      </c>
      <c r="D146" s="10">
        <f t="shared" si="10"/>
        <v>0</v>
      </c>
      <c r="E146" s="10">
        <f t="shared" si="11"/>
        <v>0</v>
      </c>
      <c r="W146" t="str">
        <f>IFERROR(MID(Проливка[[#This Row],[Штрихкод ]],1,FIND("-",Проливка[[#This Row],[Штрихкод ]],1)-1)," ")</f>
        <v xml:space="preserve"> </v>
      </c>
      <c r="X146" t="str">
        <f>IFERROR(RIGHT(Проливка[[#This Row],[Штрихкод ]],LEN(Проливка[[#This Row],[Штрихкод ]])-SEARCH("-",Проливка[[#This Row],[Штрихкод ]],1))," ")</f>
        <v xml:space="preserve"> </v>
      </c>
      <c r="Y146">
        <f>IFERROR(VLOOKUP(Проливка[[#This Row],[ID]]*1,'Срок хранения'!A146:B244,2,0),0)</f>
        <v>0</v>
      </c>
      <c r="Z146">
        <f>IFERROR(VLOOKUP(Проливка[[#This Row],[ID]]*1,'Срок хранения'!A146:C244,3,0),0)</f>
        <v>0</v>
      </c>
    </row>
    <row r="147" spans="1:26" x14ac:dyDescent="0.25">
      <c r="A147" s="9"/>
      <c r="B147" s="12" t="str">
        <f t="shared" si="9"/>
        <v xml:space="preserve"> </v>
      </c>
      <c r="C147" s="10" t="str">
        <f t="shared" si="8"/>
        <v xml:space="preserve"> </v>
      </c>
      <c r="D147" s="10">
        <f t="shared" si="10"/>
        <v>0</v>
      </c>
      <c r="E147" s="10">
        <f t="shared" si="11"/>
        <v>0</v>
      </c>
      <c r="W147" t="str">
        <f>IFERROR(MID(Проливка[[#This Row],[Штрихкод ]],1,FIND("-",Проливка[[#This Row],[Штрихкод ]],1)-1)," ")</f>
        <v xml:space="preserve"> </v>
      </c>
      <c r="X147" t="str">
        <f>IFERROR(RIGHT(Проливка[[#This Row],[Штрихкод ]],LEN(Проливка[[#This Row],[Штрихкод ]])-SEARCH("-",Проливка[[#This Row],[Штрихкод ]],1))," ")</f>
        <v xml:space="preserve"> </v>
      </c>
      <c r="Y147">
        <f>IFERROR(VLOOKUP(Проливка[[#This Row],[ID]]*1,'Срок хранения'!A147:B245,2,0),0)</f>
        <v>0</v>
      </c>
      <c r="Z147">
        <f>IFERROR(VLOOKUP(Проливка[[#This Row],[ID]]*1,'Срок хранения'!A147:C245,3,0),0)</f>
        <v>0</v>
      </c>
    </row>
    <row r="148" spans="1:26" x14ac:dyDescent="0.25">
      <c r="A148" s="9"/>
      <c r="B148" s="12" t="str">
        <f t="shared" si="9"/>
        <v xml:space="preserve"> </v>
      </c>
      <c r="C148" s="10" t="str">
        <f t="shared" si="8"/>
        <v xml:space="preserve"> </v>
      </c>
      <c r="D148" s="10">
        <f t="shared" si="10"/>
        <v>0</v>
      </c>
      <c r="E148" s="10">
        <f t="shared" si="11"/>
        <v>0</v>
      </c>
      <c r="W148" t="str">
        <f>IFERROR(MID(Проливка[[#This Row],[Штрихкод ]],1,FIND("-",Проливка[[#This Row],[Штрихкод ]],1)-1)," ")</f>
        <v xml:space="preserve"> </v>
      </c>
      <c r="X148" t="str">
        <f>IFERROR(RIGHT(Проливка[[#This Row],[Штрихкод ]],LEN(Проливка[[#This Row],[Штрихкод ]])-SEARCH("-",Проливка[[#This Row],[Штрихкод ]],1))," ")</f>
        <v xml:space="preserve"> </v>
      </c>
      <c r="Y148">
        <f>IFERROR(VLOOKUP(Проливка[[#This Row],[ID]]*1,'Срок хранения'!A148:B246,2,0),0)</f>
        <v>0</v>
      </c>
      <c r="Z148">
        <f>IFERROR(VLOOKUP(Проливка[[#This Row],[ID]]*1,'Срок хранения'!A148:C246,3,0),0)</f>
        <v>0</v>
      </c>
    </row>
    <row r="149" spans="1:26" x14ac:dyDescent="0.25">
      <c r="A149" s="9"/>
      <c r="B149" s="12" t="str">
        <f t="shared" si="9"/>
        <v xml:space="preserve"> </v>
      </c>
      <c r="C149" s="10" t="str">
        <f t="shared" si="8"/>
        <v xml:space="preserve"> </v>
      </c>
      <c r="D149" s="10">
        <f t="shared" si="10"/>
        <v>0</v>
      </c>
      <c r="E149" s="10">
        <f t="shared" si="11"/>
        <v>0</v>
      </c>
      <c r="W149" t="str">
        <f>IFERROR(MID(Проливка[[#This Row],[Штрихкод ]],1,FIND("-",Проливка[[#This Row],[Штрихкод ]],1)-1)," ")</f>
        <v xml:space="preserve"> </v>
      </c>
      <c r="X149" t="str">
        <f>IFERROR(RIGHT(Проливка[[#This Row],[Штрихкод ]],LEN(Проливка[[#This Row],[Штрихкод ]])-SEARCH("-",Проливка[[#This Row],[Штрихкод ]],1))," ")</f>
        <v xml:space="preserve"> </v>
      </c>
      <c r="Y149">
        <f>IFERROR(VLOOKUP(Проливка[[#This Row],[ID]]*1,'Срок хранения'!A149:B247,2,0),0)</f>
        <v>0</v>
      </c>
      <c r="Z149">
        <f>IFERROR(VLOOKUP(Проливка[[#This Row],[ID]]*1,'Срок хранения'!A149:C247,3,0),0)</f>
        <v>0</v>
      </c>
    </row>
    <row r="150" spans="1:26" x14ac:dyDescent="0.25">
      <c r="A150" s="9"/>
      <c r="B150" s="12" t="str">
        <f t="shared" si="9"/>
        <v xml:space="preserve"> </v>
      </c>
      <c r="C150" s="10" t="str">
        <f t="shared" si="8"/>
        <v xml:space="preserve"> </v>
      </c>
      <c r="D150" s="10">
        <f t="shared" si="10"/>
        <v>0</v>
      </c>
      <c r="E150" s="10">
        <f t="shared" si="11"/>
        <v>0</v>
      </c>
      <c r="W150" t="str">
        <f>IFERROR(MID(Проливка[[#This Row],[Штрихкод ]],1,FIND("-",Проливка[[#This Row],[Штрихкод ]],1)-1)," ")</f>
        <v xml:space="preserve"> </v>
      </c>
      <c r="X150" t="str">
        <f>IFERROR(RIGHT(Проливка[[#This Row],[Штрихкод ]],LEN(Проливка[[#This Row],[Штрихкод ]])-SEARCH("-",Проливка[[#This Row],[Штрихкод ]],1))," ")</f>
        <v xml:space="preserve"> </v>
      </c>
      <c r="Y150">
        <f>IFERROR(VLOOKUP(Проливка[[#This Row],[ID]]*1,'Срок хранения'!A150:B248,2,0),0)</f>
        <v>0</v>
      </c>
      <c r="Z150">
        <f>IFERROR(VLOOKUP(Проливка[[#This Row],[ID]]*1,'Срок хранения'!A150:C248,3,0),0)</f>
        <v>0</v>
      </c>
    </row>
    <row r="151" spans="1:26" x14ac:dyDescent="0.25">
      <c r="A151" s="9"/>
      <c r="B151" s="12" t="str">
        <f t="shared" si="9"/>
        <v xml:space="preserve"> </v>
      </c>
      <c r="C151" s="10" t="str">
        <f t="shared" si="8"/>
        <v xml:space="preserve"> </v>
      </c>
      <c r="D151" s="10">
        <f t="shared" si="10"/>
        <v>0</v>
      </c>
      <c r="E151" s="10">
        <f t="shared" si="11"/>
        <v>0</v>
      </c>
      <c r="W151" t="str">
        <f>IFERROR(MID(Проливка[[#This Row],[Штрихкод ]],1,FIND("-",Проливка[[#This Row],[Штрихкод ]],1)-1)," ")</f>
        <v xml:space="preserve"> </v>
      </c>
      <c r="X151" t="str">
        <f>IFERROR(RIGHT(Проливка[[#This Row],[Штрихкод ]],LEN(Проливка[[#This Row],[Штрихкод ]])-SEARCH("-",Проливка[[#This Row],[Штрихкод ]],1))," ")</f>
        <v xml:space="preserve"> </v>
      </c>
      <c r="Y151">
        <f>IFERROR(VLOOKUP(Проливка[[#This Row],[ID]]*1,'Срок хранения'!A151:B249,2,0),0)</f>
        <v>0</v>
      </c>
      <c r="Z151">
        <f>IFERROR(VLOOKUP(Проливка[[#This Row],[ID]]*1,'Срок хранения'!A151:C249,3,0),0)</f>
        <v>0</v>
      </c>
    </row>
    <row r="152" spans="1:26" x14ac:dyDescent="0.25">
      <c r="A152" s="9"/>
      <c r="B152" s="12" t="str">
        <f t="shared" si="9"/>
        <v xml:space="preserve"> </v>
      </c>
      <c r="C152" s="10" t="str">
        <f t="shared" si="8"/>
        <v xml:space="preserve"> </v>
      </c>
      <c r="D152" s="10">
        <f t="shared" si="10"/>
        <v>0</v>
      </c>
      <c r="E152" s="10">
        <f t="shared" si="11"/>
        <v>0</v>
      </c>
      <c r="W152" t="str">
        <f>IFERROR(MID(Проливка[[#This Row],[Штрихкод ]],1,FIND("-",Проливка[[#This Row],[Штрихкод ]],1)-1)," ")</f>
        <v xml:space="preserve"> </v>
      </c>
      <c r="X152" t="str">
        <f>IFERROR(RIGHT(Проливка[[#This Row],[Штрихкод ]],LEN(Проливка[[#This Row],[Штрихкод ]])-SEARCH("-",Проливка[[#This Row],[Штрихкод ]],1))," ")</f>
        <v xml:space="preserve"> </v>
      </c>
      <c r="Y152">
        <f>IFERROR(VLOOKUP(Проливка[[#This Row],[ID]]*1,'Срок хранения'!A152:B250,2,0),0)</f>
        <v>0</v>
      </c>
      <c r="Z152">
        <f>IFERROR(VLOOKUP(Проливка[[#This Row],[ID]]*1,'Срок хранения'!A152:C250,3,0),0)</f>
        <v>0</v>
      </c>
    </row>
    <row r="153" spans="1:26" x14ac:dyDescent="0.25">
      <c r="A153" s="9"/>
      <c r="B153" s="12" t="str">
        <f t="shared" si="9"/>
        <v xml:space="preserve"> </v>
      </c>
      <c r="C153" s="10" t="str">
        <f t="shared" si="8"/>
        <v xml:space="preserve"> </v>
      </c>
      <c r="D153" s="10">
        <f t="shared" si="10"/>
        <v>0</v>
      </c>
      <c r="E153" s="10">
        <f t="shared" si="11"/>
        <v>0</v>
      </c>
      <c r="W153" t="str">
        <f>IFERROR(MID(Проливка[[#This Row],[Штрихкод ]],1,FIND("-",Проливка[[#This Row],[Штрихкод ]],1)-1)," ")</f>
        <v xml:space="preserve"> </v>
      </c>
      <c r="X153" t="str">
        <f>IFERROR(RIGHT(Проливка[[#This Row],[Штрихкод ]],LEN(Проливка[[#This Row],[Штрихкод ]])-SEARCH("-",Проливка[[#This Row],[Штрихкод ]],1))," ")</f>
        <v xml:space="preserve"> </v>
      </c>
      <c r="Y153">
        <f>IFERROR(VLOOKUP(Проливка[[#This Row],[ID]]*1,'Срок хранения'!A153:B251,2,0),0)</f>
        <v>0</v>
      </c>
      <c r="Z153">
        <f>IFERROR(VLOOKUP(Проливка[[#This Row],[ID]]*1,'Срок хранения'!A153:C251,3,0),0)</f>
        <v>0</v>
      </c>
    </row>
    <row r="154" spans="1:26" x14ac:dyDescent="0.25">
      <c r="A154" s="9"/>
      <c r="B154" s="12" t="str">
        <f t="shared" si="9"/>
        <v xml:space="preserve"> </v>
      </c>
      <c r="C154" s="10" t="str">
        <f t="shared" si="8"/>
        <v xml:space="preserve"> </v>
      </c>
      <c r="D154" s="10">
        <f t="shared" si="10"/>
        <v>0</v>
      </c>
      <c r="E154" s="10">
        <f t="shared" si="11"/>
        <v>0</v>
      </c>
      <c r="W154" t="str">
        <f>IFERROR(MID(Проливка[[#This Row],[Штрихкод ]],1,FIND("-",Проливка[[#This Row],[Штрихкод ]],1)-1)," ")</f>
        <v xml:space="preserve"> </v>
      </c>
      <c r="X154" t="str">
        <f>IFERROR(RIGHT(Проливка[[#This Row],[Штрихкод ]],LEN(Проливка[[#This Row],[Штрихкод ]])-SEARCH("-",Проливка[[#This Row],[Штрихкод ]],1))," ")</f>
        <v xml:space="preserve"> </v>
      </c>
      <c r="Y154">
        <f>IFERROR(VLOOKUP(Проливка[[#This Row],[ID]]*1,'Срок хранения'!A154:B252,2,0),0)</f>
        <v>0</v>
      </c>
      <c r="Z154">
        <f>IFERROR(VLOOKUP(Проливка[[#This Row],[ID]]*1,'Срок хранения'!A154:C252,3,0),0)</f>
        <v>0</v>
      </c>
    </row>
    <row r="155" spans="1:26" x14ac:dyDescent="0.25">
      <c r="A155" s="9"/>
      <c r="B155" s="12" t="str">
        <f t="shared" si="9"/>
        <v xml:space="preserve"> </v>
      </c>
      <c r="C155" s="10" t="str">
        <f t="shared" si="8"/>
        <v xml:space="preserve"> </v>
      </c>
      <c r="D155" s="10">
        <f t="shared" si="10"/>
        <v>0</v>
      </c>
      <c r="E155" s="10">
        <f t="shared" si="11"/>
        <v>0</v>
      </c>
      <c r="W155" t="str">
        <f>IFERROR(MID(Проливка[[#This Row],[Штрихкод ]],1,FIND("-",Проливка[[#This Row],[Штрихкод ]],1)-1)," ")</f>
        <v xml:space="preserve"> </v>
      </c>
      <c r="X155" t="str">
        <f>IFERROR(RIGHT(Проливка[[#This Row],[Штрихкод ]],LEN(Проливка[[#This Row],[Штрихкод ]])-SEARCH("-",Проливка[[#This Row],[Штрихкод ]],1))," ")</f>
        <v xml:space="preserve"> </v>
      </c>
      <c r="Y155">
        <f>IFERROR(VLOOKUP(Проливка[[#This Row],[ID]]*1,'Срок хранения'!A155:B253,2,0),0)</f>
        <v>0</v>
      </c>
      <c r="Z155">
        <f>IFERROR(VLOOKUP(Проливка[[#This Row],[ID]]*1,'Срок хранения'!A155:C253,3,0),0)</f>
        <v>0</v>
      </c>
    </row>
    <row r="156" spans="1:26" x14ac:dyDescent="0.25">
      <c r="A156" s="9"/>
      <c r="B156" s="12" t="str">
        <f t="shared" si="9"/>
        <v xml:space="preserve"> </v>
      </c>
      <c r="C156" s="10" t="str">
        <f t="shared" si="8"/>
        <v xml:space="preserve"> </v>
      </c>
      <c r="D156" s="10">
        <f t="shared" si="10"/>
        <v>0</v>
      </c>
      <c r="E156" s="10">
        <f t="shared" si="11"/>
        <v>0</v>
      </c>
      <c r="W156" t="str">
        <f>IFERROR(MID(Проливка[[#This Row],[Штрихкод ]],1,FIND("-",Проливка[[#This Row],[Штрихкод ]],1)-1)," ")</f>
        <v xml:space="preserve"> </v>
      </c>
      <c r="X156" t="str">
        <f>IFERROR(RIGHT(Проливка[[#This Row],[Штрихкод ]],LEN(Проливка[[#This Row],[Штрихкод ]])-SEARCH("-",Проливка[[#This Row],[Штрихкод ]],1))," ")</f>
        <v xml:space="preserve"> </v>
      </c>
      <c r="Y156">
        <f>IFERROR(VLOOKUP(Проливка[[#This Row],[ID]]*1,'Срок хранения'!A156:B254,2,0),0)</f>
        <v>0</v>
      </c>
      <c r="Z156">
        <f>IFERROR(VLOOKUP(Проливка[[#This Row],[ID]]*1,'Срок хранения'!A156:C254,3,0),0)</f>
        <v>0</v>
      </c>
    </row>
    <row r="157" spans="1:26" x14ac:dyDescent="0.25">
      <c r="A157" s="9"/>
      <c r="B157" s="12" t="str">
        <f t="shared" si="9"/>
        <v xml:space="preserve"> </v>
      </c>
      <c r="C157" s="10" t="str">
        <f t="shared" si="8"/>
        <v xml:space="preserve"> </v>
      </c>
      <c r="D157" s="10">
        <f t="shared" si="10"/>
        <v>0</v>
      </c>
      <c r="E157" s="10">
        <f t="shared" si="11"/>
        <v>0</v>
      </c>
      <c r="W157" t="str">
        <f>IFERROR(MID(Проливка[[#This Row],[Штрихкод ]],1,FIND("-",Проливка[[#This Row],[Штрихкод ]],1)-1)," ")</f>
        <v xml:space="preserve"> </v>
      </c>
      <c r="X157" t="str">
        <f>IFERROR(RIGHT(Проливка[[#This Row],[Штрихкод ]],LEN(Проливка[[#This Row],[Штрихкод ]])-SEARCH("-",Проливка[[#This Row],[Штрихкод ]],1))," ")</f>
        <v xml:space="preserve"> </v>
      </c>
      <c r="Y157">
        <f>IFERROR(VLOOKUP(Проливка[[#This Row],[ID]]*1,'Срок хранения'!A157:B255,2,0),0)</f>
        <v>0</v>
      </c>
      <c r="Z157">
        <f>IFERROR(VLOOKUP(Проливка[[#This Row],[ID]]*1,'Срок хранения'!A157:C255,3,0),0)</f>
        <v>0</v>
      </c>
    </row>
    <row r="158" spans="1:26" x14ac:dyDescent="0.25">
      <c r="A158" s="9"/>
      <c r="B158" s="12" t="str">
        <f t="shared" si="9"/>
        <v xml:space="preserve"> </v>
      </c>
      <c r="C158" s="10" t="str">
        <f t="shared" si="8"/>
        <v xml:space="preserve"> </v>
      </c>
      <c r="D158" s="10">
        <f t="shared" si="10"/>
        <v>0</v>
      </c>
      <c r="E158" s="10">
        <f t="shared" si="11"/>
        <v>0</v>
      </c>
      <c r="W158" t="str">
        <f>IFERROR(MID(Проливка[[#This Row],[Штрихкод ]],1,FIND("-",Проливка[[#This Row],[Штрихкод ]],1)-1)," ")</f>
        <v xml:space="preserve"> </v>
      </c>
      <c r="X158" t="str">
        <f>IFERROR(RIGHT(Проливка[[#This Row],[Штрихкод ]],LEN(Проливка[[#This Row],[Штрихкод ]])-SEARCH("-",Проливка[[#This Row],[Штрихкод ]],1))," ")</f>
        <v xml:space="preserve"> </v>
      </c>
      <c r="Y158">
        <f>IFERROR(VLOOKUP(Проливка[[#This Row],[ID]]*1,'Срок хранения'!A158:B256,2,0),0)</f>
        <v>0</v>
      </c>
      <c r="Z158">
        <f>IFERROR(VLOOKUP(Проливка[[#This Row],[ID]]*1,'Срок хранения'!A158:C256,3,0),0)</f>
        <v>0</v>
      </c>
    </row>
    <row r="159" spans="1:26" x14ac:dyDescent="0.25">
      <c r="A159" s="9"/>
      <c r="B159" s="12" t="str">
        <f t="shared" si="9"/>
        <v xml:space="preserve"> </v>
      </c>
      <c r="C159" s="10" t="str">
        <f t="shared" si="8"/>
        <v xml:space="preserve"> </v>
      </c>
      <c r="D159" s="10">
        <f t="shared" si="10"/>
        <v>0</v>
      </c>
      <c r="E159" s="10">
        <f t="shared" si="11"/>
        <v>0</v>
      </c>
      <c r="W159" t="str">
        <f>IFERROR(MID(Проливка[[#This Row],[Штрихкод ]],1,FIND("-",Проливка[[#This Row],[Штрихкод ]],1)-1)," ")</f>
        <v xml:space="preserve"> </v>
      </c>
      <c r="X159" t="str">
        <f>IFERROR(RIGHT(Проливка[[#This Row],[Штрихкод ]],LEN(Проливка[[#This Row],[Штрихкод ]])-SEARCH("-",Проливка[[#This Row],[Штрихкод ]],1))," ")</f>
        <v xml:space="preserve"> </v>
      </c>
      <c r="Y159">
        <f>IFERROR(VLOOKUP(Проливка[[#This Row],[ID]]*1,'Срок хранения'!A159:B257,2,0),0)</f>
        <v>0</v>
      </c>
      <c r="Z159">
        <f>IFERROR(VLOOKUP(Проливка[[#This Row],[ID]]*1,'Срок хранения'!A159:C257,3,0),0)</f>
        <v>0</v>
      </c>
    </row>
    <row r="160" spans="1:26" x14ac:dyDescent="0.25">
      <c r="A160" s="9"/>
      <c r="B160" s="12" t="str">
        <f t="shared" si="9"/>
        <v xml:space="preserve"> </v>
      </c>
      <c r="C160" s="10" t="str">
        <f t="shared" si="8"/>
        <v xml:space="preserve"> </v>
      </c>
      <c r="D160" s="10">
        <f t="shared" si="10"/>
        <v>0</v>
      </c>
      <c r="E160" s="10">
        <f t="shared" si="11"/>
        <v>0</v>
      </c>
      <c r="W160" t="str">
        <f>IFERROR(MID(Проливка[[#This Row],[Штрихкод ]],1,FIND("-",Проливка[[#This Row],[Штрихкод ]],1)-1)," ")</f>
        <v xml:space="preserve"> </v>
      </c>
      <c r="X160" t="str">
        <f>IFERROR(RIGHT(Проливка[[#This Row],[Штрихкод ]],LEN(Проливка[[#This Row],[Штрихкод ]])-SEARCH("-",Проливка[[#This Row],[Штрихкод ]],1))," ")</f>
        <v xml:space="preserve"> </v>
      </c>
      <c r="Y160">
        <f>IFERROR(VLOOKUP(Проливка[[#This Row],[ID]]*1,'Срок хранения'!A160:B258,2,0),0)</f>
        <v>0</v>
      </c>
      <c r="Z160">
        <f>IFERROR(VLOOKUP(Проливка[[#This Row],[ID]]*1,'Срок хранения'!A160:C258,3,0),0)</f>
        <v>0</v>
      </c>
    </row>
    <row r="161" spans="1:26" x14ac:dyDescent="0.25">
      <c r="A161" s="9"/>
      <c r="B161" s="12" t="str">
        <f t="shared" si="9"/>
        <v xml:space="preserve"> </v>
      </c>
      <c r="C161" s="10" t="str">
        <f t="shared" si="8"/>
        <v xml:space="preserve"> </v>
      </c>
      <c r="D161" s="10">
        <f t="shared" si="10"/>
        <v>0</v>
      </c>
      <c r="E161" s="10">
        <f t="shared" si="11"/>
        <v>0</v>
      </c>
      <c r="W161" t="str">
        <f>IFERROR(MID(Проливка[[#This Row],[Штрихкод ]],1,FIND("-",Проливка[[#This Row],[Штрихкод ]],1)-1)," ")</f>
        <v xml:space="preserve"> </v>
      </c>
      <c r="X161" t="str">
        <f>IFERROR(RIGHT(Проливка[[#This Row],[Штрихкод ]],LEN(Проливка[[#This Row],[Штрихкод ]])-SEARCH("-",Проливка[[#This Row],[Штрихкод ]],1))," ")</f>
        <v xml:space="preserve"> </v>
      </c>
      <c r="Y161">
        <f>IFERROR(VLOOKUP(Проливка[[#This Row],[ID]]*1,'Срок хранения'!A161:B259,2,0),0)</f>
        <v>0</v>
      </c>
      <c r="Z161">
        <f>IFERROR(VLOOKUP(Проливка[[#This Row],[ID]]*1,'Срок хранения'!A161:C259,3,0),0)</f>
        <v>0</v>
      </c>
    </row>
    <row r="162" spans="1:26" x14ac:dyDescent="0.25">
      <c r="A162" s="9"/>
      <c r="B162" s="12" t="str">
        <f t="shared" si="9"/>
        <v xml:space="preserve"> </v>
      </c>
      <c r="C162" s="10" t="str">
        <f t="shared" si="8"/>
        <v xml:space="preserve"> </v>
      </c>
      <c r="D162" s="10">
        <f t="shared" si="10"/>
        <v>0</v>
      </c>
      <c r="E162" s="10">
        <f t="shared" si="11"/>
        <v>0</v>
      </c>
      <c r="W162" t="str">
        <f>IFERROR(MID(Проливка[[#This Row],[Штрихкод ]],1,FIND("-",Проливка[[#This Row],[Штрихкод ]],1)-1)," ")</f>
        <v xml:space="preserve"> </v>
      </c>
      <c r="X162" t="str">
        <f>IFERROR(RIGHT(Проливка[[#This Row],[Штрихкод ]],LEN(Проливка[[#This Row],[Штрихкод ]])-SEARCH("-",Проливка[[#This Row],[Штрихкод ]],1))," ")</f>
        <v xml:space="preserve"> </v>
      </c>
      <c r="Y162">
        <f>IFERROR(VLOOKUP(Проливка[[#This Row],[ID]]*1,'Срок хранения'!A162:B260,2,0),0)</f>
        <v>0</v>
      </c>
      <c r="Z162">
        <f>IFERROR(VLOOKUP(Проливка[[#This Row],[ID]]*1,'Срок хранения'!A162:C260,3,0),0)</f>
        <v>0</v>
      </c>
    </row>
    <row r="163" spans="1:26" x14ac:dyDescent="0.25">
      <c r="A163" s="9"/>
      <c r="B163" s="12" t="str">
        <f t="shared" si="9"/>
        <v xml:space="preserve"> </v>
      </c>
      <c r="C163" s="10" t="str">
        <f t="shared" si="8"/>
        <v xml:space="preserve"> </v>
      </c>
      <c r="D163" s="10">
        <f t="shared" si="10"/>
        <v>0</v>
      </c>
      <c r="E163" s="10">
        <f t="shared" si="11"/>
        <v>0</v>
      </c>
      <c r="W163" t="str">
        <f>IFERROR(MID(Проливка[[#This Row],[Штрихкод ]],1,FIND("-",Проливка[[#This Row],[Штрихкод ]],1)-1)," ")</f>
        <v xml:space="preserve"> </v>
      </c>
      <c r="X163" t="str">
        <f>IFERROR(RIGHT(Проливка[[#This Row],[Штрихкод ]],LEN(Проливка[[#This Row],[Штрихкод ]])-SEARCH("-",Проливка[[#This Row],[Штрихкод ]],1))," ")</f>
        <v xml:space="preserve"> </v>
      </c>
      <c r="Y163">
        <f>IFERROR(VLOOKUP(Проливка[[#This Row],[ID]]*1,'Срок хранения'!A163:B261,2,0),0)</f>
        <v>0</v>
      </c>
      <c r="Z163">
        <f>IFERROR(VLOOKUP(Проливка[[#This Row],[ID]]*1,'Срок хранения'!A163:C261,3,0),0)</f>
        <v>0</v>
      </c>
    </row>
    <row r="164" spans="1:26" x14ac:dyDescent="0.25">
      <c r="A164" s="9"/>
      <c r="B164" s="12" t="str">
        <f t="shared" si="9"/>
        <v xml:space="preserve"> </v>
      </c>
      <c r="C164" s="10" t="str">
        <f t="shared" si="8"/>
        <v xml:space="preserve"> </v>
      </c>
      <c r="D164" s="10">
        <f t="shared" si="10"/>
        <v>0</v>
      </c>
      <c r="E164" s="10">
        <f t="shared" si="11"/>
        <v>0</v>
      </c>
      <c r="W164" t="str">
        <f>IFERROR(MID(Проливка[[#This Row],[Штрихкод ]],1,FIND("-",Проливка[[#This Row],[Штрихкод ]],1)-1)," ")</f>
        <v xml:space="preserve"> </v>
      </c>
      <c r="X164" t="str">
        <f>IFERROR(RIGHT(Проливка[[#This Row],[Штрихкод ]],LEN(Проливка[[#This Row],[Штрихкод ]])-SEARCH("-",Проливка[[#This Row],[Штрихкод ]],1))," ")</f>
        <v xml:space="preserve"> </v>
      </c>
      <c r="Y164">
        <f>IFERROR(VLOOKUP(Проливка[[#This Row],[ID]]*1,'Срок хранения'!A164:B262,2,0),0)</f>
        <v>0</v>
      </c>
      <c r="Z164">
        <f>IFERROR(VLOOKUP(Проливка[[#This Row],[ID]]*1,'Срок хранения'!A164:C262,3,0),0)</f>
        <v>0</v>
      </c>
    </row>
    <row r="165" spans="1:26" x14ac:dyDescent="0.25">
      <c r="A165" s="9"/>
      <c r="B165" s="12" t="str">
        <f t="shared" si="9"/>
        <v xml:space="preserve"> </v>
      </c>
      <c r="C165" s="10" t="str">
        <f t="shared" si="8"/>
        <v xml:space="preserve"> </v>
      </c>
      <c r="D165" s="10">
        <f t="shared" si="10"/>
        <v>0</v>
      </c>
      <c r="E165" s="10">
        <f t="shared" si="11"/>
        <v>0</v>
      </c>
      <c r="W165" t="str">
        <f>IFERROR(MID(Проливка[[#This Row],[Штрихкод ]],1,FIND("-",Проливка[[#This Row],[Штрихкод ]],1)-1)," ")</f>
        <v xml:space="preserve"> </v>
      </c>
      <c r="X165" t="str">
        <f>IFERROR(RIGHT(Проливка[[#This Row],[Штрихкод ]],LEN(Проливка[[#This Row],[Штрихкод ]])-SEARCH("-",Проливка[[#This Row],[Штрихкод ]],1))," ")</f>
        <v xml:space="preserve"> </v>
      </c>
      <c r="Y165">
        <f>IFERROR(VLOOKUP(Проливка[[#This Row],[ID]]*1,'Срок хранения'!A165:B263,2,0),0)</f>
        <v>0</v>
      </c>
      <c r="Z165">
        <f>IFERROR(VLOOKUP(Проливка[[#This Row],[ID]]*1,'Срок хранения'!A165:C263,3,0),0)</f>
        <v>0</v>
      </c>
    </row>
    <row r="166" spans="1:26" x14ac:dyDescent="0.25">
      <c r="A166" s="9"/>
      <c r="B166" s="12" t="str">
        <f t="shared" si="9"/>
        <v xml:space="preserve"> </v>
      </c>
      <c r="C166" s="10" t="str">
        <f t="shared" si="8"/>
        <v xml:space="preserve"> </v>
      </c>
      <c r="D166" s="10">
        <f t="shared" si="10"/>
        <v>0</v>
      </c>
      <c r="E166" s="10">
        <f t="shared" si="11"/>
        <v>0</v>
      </c>
      <c r="W166" t="str">
        <f>IFERROR(MID(Проливка[[#This Row],[Штрихкод ]],1,FIND("-",Проливка[[#This Row],[Штрихкод ]],1)-1)," ")</f>
        <v xml:space="preserve"> </v>
      </c>
      <c r="X166" t="str">
        <f>IFERROR(RIGHT(Проливка[[#This Row],[Штрихкод ]],LEN(Проливка[[#This Row],[Штрихкод ]])-SEARCH("-",Проливка[[#This Row],[Штрихкод ]],1))," ")</f>
        <v xml:space="preserve"> </v>
      </c>
      <c r="Y166">
        <f>IFERROR(VLOOKUP(Проливка[[#This Row],[ID]]*1,'Срок хранения'!A166:B264,2,0),0)</f>
        <v>0</v>
      </c>
      <c r="Z166">
        <f>IFERROR(VLOOKUP(Проливка[[#This Row],[ID]]*1,'Срок хранения'!A166:C264,3,0),0)</f>
        <v>0</v>
      </c>
    </row>
    <row r="167" spans="1:26" x14ac:dyDescent="0.25">
      <c r="A167" s="9"/>
      <c r="B167" s="12" t="str">
        <f t="shared" si="9"/>
        <v xml:space="preserve"> </v>
      </c>
      <c r="C167" s="10" t="str">
        <f t="shared" si="8"/>
        <v xml:space="preserve"> </v>
      </c>
      <c r="D167" s="10">
        <f t="shared" si="10"/>
        <v>0</v>
      </c>
      <c r="E167" s="10">
        <f t="shared" si="11"/>
        <v>0</v>
      </c>
      <c r="W167" t="str">
        <f>IFERROR(MID(Проливка[[#This Row],[Штрихкод ]],1,FIND("-",Проливка[[#This Row],[Штрихкод ]],1)-1)," ")</f>
        <v xml:space="preserve"> </v>
      </c>
      <c r="X167" t="str">
        <f>IFERROR(RIGHT(Проливка[[#This Row],[Штрихкод ]],LEN(Проливка[[#This Row],[Штрихкод ]])-SEARCH("-",Проливка[[#This Row],[Штрихкод ]],1))," ")</f>
        <v xml:space="preserve"> </v>
      </c>
      <c r="Y167">
        <f>IFERROR(VLOOKUP(Проливка[[#This Row],[ID]]*1,'Срок хранения'!A167:B265,2,0),0)</f>
        <v>0</v>
      </c>
      <c r="Z167">
        <f>IFERROR(VLOOKUP(Проливка[[#This Row],[ID]]*1,'Срок хранения'!A167:C265,3,0),0)</f>
        <v>0</v>
      </c>
    </row>
    <row r="168" spans="1:26" x14ac:dyDescent="0.25">
      <c r="A168" s="9"/>
      <c r="B168" s="12" t="str">
        <f t="shared" si="9"/>
        <v xml:space="preserve"> </v>
      </c>
      <c r="C168" s="10" t="str">
        <f t="shared" si="8"/>
        <v xml:space="preserve"> </v>
      </c>
      <c r="D168" s="10">
        <f t="shared" si="10"/>
        <v>0</v>
      </c>
      <c r="E168" s="10">
        <f t="shared" si="11"/>
        <v>0</v>
      </c>
      <c r="W168" t="str">
        <f>IFERROR(MID(Проливка[[#This Row],[Штрихкод ]],1,FIND("-",Проливка[[#This Row],[Штрихкод ]],1)-1)," ")</f>
        <v xml:space="preserve"> </v>
      </c>
      <c r="X168" t="str">
        <f>IFERROR(RIGHT(Проливка[[#This Row],[Штрихкод ]],LEN(Проливка[[#This Row],[Штрихкод ]])-SEARCH("-",Проливка[[#This Row],[Штрихкод ]],1))," ")</f>
        <v xml:space="preserve"> </v>
      </c>
      <c r="Y168">
        <f>IFERROR(VLOOKUP(Проливка[[#This Row],[ID]]*1,'Срок хранения'!A168:B266,2,0),0)</f>
        <v>0</v>
      </c>
      <c r="Z168">
        <f>IFERROR(VLOOKUP(Проливка[[#This Row],[ID]]*1,'Срок хранения'!A168:C266,3,0),0)</f>
        <v>0</v>
      </c>
    </row>
    <row r="169" spans="1:26" x14ac:dyDescent="0.25">
      <c r="A169" s="9"/>
      <c r="B169" s="12" t="str">
        <f t="shared" si="9"/>
        <v xml:space="preserve"> </v>
      </c>
      <c r="C169" s="10" t="str">
        <f t="shared" si="8"/>
        <v xml:space="preserve"> </v>
      </c>
      <c r="D169" s="10">
        <f t="shared" si="10"/>
        <v>0</v>
      </c>
      <c r="E169" s="10">
        <f t="shared" si="11"/>
        <v>0</v>
      </c>
      <c r="W169" t="str">
        <f>IFERROR(MID(Проливка[[#This Row],[Штрихкод ]],1,FIND("-",Проливка[[#This Row],[Штрихкод ]],1)-1)," ")</f>
        <v xml:space="preserve"> </v>
      </c>
      <c r="X169" t="str">
        <f>IFERROR(RIGHT(Проливка[[#This Row],[Штрихкод ]],LEN(Проливка[[#This Row],[Штрихкод ]])-SEARCH("-",Проливка[[#This Row],[Штрихкод ]],1))," ")</f>
        <v xml:space="preserve"> </v>
      </c>
      <c r="Y169">
        <f>IFERROR(VLOOKUP(Проливка[[#This Row],[ID]]*1,'Срок хранения'!A169:B267,2,0),0)</f>
        <v>0</v>
      </c>
      <c r="Z169">
        <f>IFERROR(VLOOKUP(Проливка[[#This Row],[ID]]*1,'Срок хранения'!A169:C267,3,0),0)</f>
        <v>0</v>
      </c>
    </row>
    <row r="170" spans="1:26" x14ac:dyDescent="0.25">
      <c r="A170" s="9"/>
      <c r="B170" s="12" t="str">
        <f t="shared" si="9"/>
        <v xml:space="preserve"> </v>
      </c>
      <c r="C170" s="10" t="str">
        <f t="shared" si="8"/>
        <v xml:space="preserve"> </v>
      </c>
      <c r="D170" s="10">
        <f t="shared" si="10"/>
        <v>0</v>
      </c>
      <c r="E170" s="10">
        <f t="shared" si="11"/>
        <v>0</v>
      </c>
      <c r="W170" t="str">
        <f>IFERROR(MID(Проливка[[#This Row],[Штрихкод ]],1,FIND("-",Проливка[[#This Row],[Штрихкод ]],1)-1)," ")</f>
        <v xml:space="preserve"> </v>
      </c>
      <c r="X170" t="str">
        <f>IFERROR(RIGHT(Проливка[[#This Row],[Штрихкод ]],LEN(Проливка[[#This Row],[Штрихкод ]])-SEARCH("-",Проливка[[#This Row],[Штрихкод ]],1))," ")</f>
        <v xml:space="preserve"> </v>
      </c>
      <c r="Y170">
        <f>IFERROR(VLOOKUP(Проливка[[#This Row],[ID]]*1,'Срок хранения'!A170:B268,2,0),0)</f>
        <v>0</v>
      </c>
      <c r="Z170">
        <f>IFERROR(VLOOKUP(Проливка[[#This Row],[ID]]*1,'Срок хранения'!A170:C268,3,0),0)</f>
        <v>0</v>
      </c>
    </row>
    <row r="171" spans="1:26" x14ac:dyDescent="0.25">
      <c r="A171" s="9"/>
      <c r="B171" s="12" t="str">
        <f t="shared" si="9"/>
        <v xml:space="preserve"> </v>
      </c>
      <c r="C171" s="10" t="str">
        <f t="shared" si="8"/>
        <v xml:space="preserve"> </v>
      </c>
      <c r="D171" s="10">
        <f t="shared" si="10"/>
        <v>0</v>
      </c>
      <c r="E171" s="10">
        <f t="shared" si="11"/>
        <v>0</v>
      </c>
      <c r="W171" t="str">
        <f>IFERROR(MID(Проливка[[#This Row],[Штрихкод ]],1,FIND("-",Проливка[[#This Row],[Штрихкод ]],1)-1)," ")</f>
        <v xml:space="preserve"> </v>
      </c>
      <c r="X171" t="str">
        <f>IFERROR(RIGHT(Проливка[[#This Row],[Штрихкод ]],LEN(Проливка[[#This Row],[Штрихкод ]])-SEARCH("-",Проливка[[#This Row],[Штрихкод ]],1))," ")</f>
        <v xml:space="preserve"> </v>
      </c>
      <c r="Y171">
        <f>IFERROR(VLOOKUP(Проливка[[#This Row],[ID]]*1,'Срок хранения'!A171:B269,2,0),0)</f>
        <v>0</v>
      </c>
      <c r="Z171">
        <f>IFERROR(VLOOKUP(Проливка[[#This Row],[ID]]*1,'Срок хранения'!A171:C269,3,0),0)</f>
        <v>0</v>
      </c>
    </row>
    <row r="172" spans="1:26" x14ac:dyDescent="0.25">
      <c r="A172" s="9"/>
      <c r="B172" s="12" t="str">
        <f t="shared" si="9"/>
        <v xml:space="preserve"> </v>
      </c>
      <c r="C172" s="10" t="str">
        <f t="shared" si="8"/>
        <v xml:space="preserve"> </v>
      </c>
      <c r="D172" s="10">
        <f t="shared" si="10"/>
        <v>0</v>
      </c>
      <c r="E172" s="10">
        <f t="shared" si="11"/>
        <v>0</v>
      </c>
      <c r="W172" t="str">
        <f>IFERROR(MID(Проливка[[#This Row],[Штрихкод ]],1,FIND("-",Проливка[[#This Row],[Штрихкод ]],1)-1)," ")</f>
        <v xml:space="preserve"> </v>
      </c>
      <c r="X172" t="str">
        <f>IFERROR(RIGHT(Проливка[[#This Row],[Штрихкод ]],LEN(Проливка[[#This Row],[Штрихкод ]])-SEARCH("-",Проливка[[#This Row],[Штрихкод ]],1))," ")</f>
        <v xml:space="preserve"> </v>
      </c>
      <c r="Y172">
        <f>IFERROR(VLOOKUP(Проливка[[#This Row],[ID]]*1,'Срок хранения'!A172:B270,2,0),0)</f>
        <v>0</v>
      </c>
      <c r="Z172">
        <f>IFERROR(VLOOKUP(Проливка[[#This Row],[ID]]*1,'Срок хранения'!A172:C270,3,0),0)</f>
        <v>0</v>
      </c>
    </row>
    <row r="173" spans="1:26" x14ac:dyDescent="0.25">
      <c r="A173" s="9"/>
      <c r="B173" s="12" t="str">
        <f t="shared" si="9"/>
        <v xml:space="preserve"> </v>
      </c>
      <c r="C173" s="10" t="str">
        <f t="shared" si="8"/>
        <v xml:space="preserve"> </v>
      </c>
      <c r="D173" s="10">
        <f t="shared" si="10"/>
        <v>0</v>
      </c>
      <c r="E173" s="10">
        <f t="shared" si="11"/>
        <v>0</v>
      </c>
      <c r="W173" t="str">
        <f>IFERROR(MID(Проливка[[#This Row],[Штрихкод ]],1,FIND("-",Проливка[[#This Row],[Штрихкод ]],1)-1)," ")</f>
        <v xml:space="preserve"> </v>
      </c>
      <c r="X173" t="str">
        <f>IFERROR(RIGHT(Проливка[[#This Row],[Штрихкод ]],LEN(Проливка[[#This Row],[Штрихкод ]])-SEARCH("-",Проливка[[#This Row],[Штрихкод ]],1))," ")</f>
        <v xml:space="preserve"> </v>
      </c>
      <c r="Y173">
        <f>IFERROR(VLOOKUP(Проливка[[#This Row],[ID]]*1,'Срок хранения'!A173:B271,2,0),0)</f>
        <v>0</v>
      </c>
      <c r="Z173">
        <f>IFERROR(VLOOKUP(Проливка[[#This Row],[ID]]*1,'Срок хранения'!A173:C271,3,0),0)</f>
        <v>0</v>
      </c>
    </row>
    <row r="174" spans="1:26" x14ac:dyDescent="0.25">
      <c r="A174" s="9"/>
      <c r="B174" s="12" t="str">
        <f t="shared" si="9"/>
        <v xml:space="preserve"> </v>
      </c>
      <c r="C174" s="10" t="str">
        <f t="shared" si="8"/>
        <v xml:space="preserve"> </v>
      </c>
      <c r="D174" s="10">
        <f t="shared" si="10"/>
        <v>0</v>
      </c>
      <c r="E174" s="10">
        <f t="shared" si="11"/>
        <v>0</v>
      </c>
      <c r="W174" t="str">
        <f>IFERROR(MID(Проливка[[#This Row],[Штрихкод ]],1,FIND("-",Проливка[[#This Row],[Штрихкод ]],1)-1)," ")</f>
        <v xml:space="preserve"> </v>
      </c>
      <c r="X174" t="str">
        <f>IFERROR(RIGHT(Проливка[[#This Row],[Штрихкод ]],LEN(Проливка[[#This Row],[Штрихкод ]])-SEARCH("-",Проливка[[#This Row],[Штрихкод ]],1))," ")</f>
        <v xml:space="preserve"> </v>
      </c>
      <c r="Y174">
        <f>IFERROR(VLOOKUP(Проливка[[#This Row],[ID]]*1,'Срок хранения'!A174:B272,2,0),0)</f>
        <v>0</v>
      </c>
      <c r="Z174">
        <f>IFERROR(VLOOKUP(Проливка[[#This Row],[ID]]*1,'Срок хранения'!A174:C272,3,0),0)</f>
        <v>0</v>
      </c>
    </row>
    <row r="175" spans="1:26" x14ac:dyDescent="0.25">
      <c r="A175" s="9"/>
      <c r="B175" s="12" t="str">
        <f t="shared" si="9"/>
        <v xml:space="preserve"> </v>
      </c>
      <c r="C175" s="10" t="str">
        <f t="shared" si="8"/>
        <v xml:space="preserve"> </v>
      </c>
      <c r="D175" s="10">
        <f t="shared" si="10"/>
        <v>0</v>
      </c>
      <c r="E175" s="10">
        <f t="shared" si="11"/>
        <v>0</v>
      </c>
      <c r="W175" t="str">
        <f>IFERROR(MID(Проливка[[#This Row],[Штрихкод ]],1,FIND("-",Проливка[[#This Row],[Штрихкод ]],1)-1)," ")</f>
        <v xml:space="preserve"> </v>
      </c>
      <c r="X175" t="str">
        <f>IFERROR(RIGHT(Проливка[[#This Row],[Штрихкод ]],LEN(Проливка[[#This Row],[Штрихкод ]])-SEARCH("-",Проливка[[#This Row],[Штрихкод ]],1))," ")</f>
        <v xml:space="preserve"> </v>
      </c>
      <c r="Y175">
        <f>IFERROR(VLOOKUP(Проливка[[#This Row],[ID]]*1,'Срок хранения'!A175:B273,2,0),0)</f>
        <v>0</v>
      </c>
      <c r="Z175">
        <f>IFERROR(VLOOKUP(Проливка[[#This Row],[ID]]*1,'Срок хранения'!A175:C273,3,0),0)</f>
        <v>0</v>
      </c>
    </row>
    <row r="176" spans="1:26" x14ac:dyDescent="0.25">
      <c r="A176" s="9"/>
      <c r="B176" s="12" t="str">
        <f t="shared" si="9"/>
        <v xml:space="preserve"> </v>
      </c>
      <c r="C176" s="10" t="str">
        <f t="shared" si="8"/>
        <v xml:space="preserve"> </v>
      </c>
      <c r="D176" s="10">
        <f t="shared" si="10"/>
        <v>0</v>
      </c>
      <c r="E176" s="10">
        <f t="shared" si="11"/>
        <v>0</v>
      </c>
      <c r="W176" t="str">
        <f>IFERROR(MID(Проливка[[#This Row],[Штрихкод ]],1,FIND("-",Проливка[[#This Row],[Штрихкод ]],1)-1)," ")</f>
        <v xml:space="preserve"> </v>
      </c>
      <c r="X176" t="str">
        <f>IFERROR(RIGHT(Проливка[[#This Row],[Штрихкод ]],LEN(Проливка[[#This Row],[Штрихкод ]])-SEARCH("-",Проливка[[#This Row],[Штрихкод ]],1))," ")</f>
        <v xml:space="preserve"> </v>
      </c>
      <c r="Y176">
        <f>IFERROR(VLOOKUP(Проливка[[#This Row],[ID]]*1,'Срок хранения'!A176:B274,2,0),0)</f>
        <v>0</v>
      </c>
      <c r="Z176">
        <f>IFERROR(VLOOKUP(Проливка[[#This Row],[ID]]*1,'Срок хранения'!A176:C274,3,0),0)</f>
        <v>0</v>
      </c>
    </row>
    <row r="177" spans="1:26" x14ac:dyDescent="0.25">
      <c r="A177" s="9"/>
      <c r="B177" s="12" t="str">
        <f t="shared" si="9"/>
        <v xml:space="preserve"> </v>
      </c>
      <c r="C177" s="10" t="str">
        <f t="shared" si="8"/>
        <v xml:space="preserve"> </v>
      </c>
      <c r="D177" s="10">
        <f t="shared" si="10"/>
        <v>0</v>
      </c>
      <c r="E177" s="10">
        <f t="shared" si="11"/>
        <v>0</v>
      </c>
      <c r="W177" t="str">
        <f>IFERROR(MID(Проливка[[#This Row],[Штрихкод ]],1,FIND("-",Проливка[[#This Row],[Штрихкод ]],1)-1)," ")</f>
        <v xml:space="preserve"> </v>
      </c>
      <c r="X177" t="str">
        <f>IFERROR(RIGHT(Проливка[[#This Row],[Штрихкод ]],LEN(Проливка[[#This Row],[Штрихкод ]])-SEARCH("-",Проливка[[#This Row],[Штрихкод ]],1))," ")</f>
        <v xml:space="preserve"> </v>
      </c>
      <c r="Y177">
        <f>IFERROR(VLOOKUP(Проливка[[#This Row],[ID]]*1,'Срок хранения'!A177:B275,2,0),0)</f>
        <v>0</v>
      </c>
      <c r="Z177">
        <f>IFERROR(VLOOKUP(Проливка[[#This Row],[ID]]*1,'Срок хранения'!A177:C275,3,0),0)</f>
        <v>0</v>
      </c>
    </row>
    <row r="178" spans="1:26" x14ac:dyDescent="0.25">
      <c r="A178" s="9"/>
      <c r="B178" s="12" t="str">
        <f t="shared" si="9"/>
        <v xml:space="preserve"> </v>
      </c>
      <c r="C178" s="10" t="str">
        <f t="shared" si="8"/>
        <v xml:space="preserve"> </v>
      </c>
      <c r="D178" s="10">
        <f t="shared" si="10"/>
        <v>0</v>
      </c>
      <c r="E178" s="10">
        <f t="shared" si="11"/>
        <v>0</v>
      </c>
      <c r="W178" t="str">
        <f>IFERROR(MID(Проливка[[#This Row],[Штрихкод ]],1,FIND("-",Проливка[[#This Row],[Штрихкод ]],1)-1)," ")</f>
        <v xml:space="preserve"> </v>
      </c>
      <c r="X178" t="str">
        <f>IFERROR(RIGHT(Проливка[[#This Row],[Штрихкод ]],LEN(Проливка[[#This Row],[Штрихкод ]])-SEARCH("-",Проливка[[#This Row],[Штрихкод ]],1))," ")</f>
        <v xml:space="preserve"> </v>
      </c>
      <c r="Y178">
        <f>IFERROR(VLOOKUP(Проливка[[#This Row],[ID]]*1,'Срок хранения'!A178:B276,2,0),0)</f>
        <v>0</v>
      </c>
      <c r="Z178">
        <f>IFERROR(VLOOKUP(Проливка[[#This Row],[ID]]*1,'Срок хранения'!A178:C276,3,0),0)</f>
        <v>0</v>
      </c>
    </row>
    <row r="179" spans="1:26" x14ac:dyDescent="0.25">
      <c r="A179" s="9"/>
      <c r="B179" s="12" t="str">
        <f t="shared" si="9"/>
        <v xml:space="preserve"> </v>
      </c>
      <c r="C179" s="10" t="str">
        <f t="shared" si="8"/>
        <v xml:space="preserve"> </v>
      </c>
      <c r="D179" s="10">
        <f t="shared" si="10"/>
        <v>0</v>
      </c>
      <c r="E179" s="10">
        <f t="shared" si="11"/>
        <v>0</v>
      </c>
      <c r="W179" t="str">
        <f>IFERROR(MID(Проливка[[#This Row],[Штрихкод ]],1,FIND("-",Проливка[[#This Row],[Штрихкод ]],1)-1)," ")</f>
        <v xml:space="preserve"> </v>
      </c>
      <c r="X179" t="str">
        <f>IFERROR(RIGHT(Проливка[[#This Row],[Штрихкод ]],LEN(Проливка[[#This Row],[Штрихкод ]])-SEARCH("-",Проливка[[#This Row],[Штрихкод ]],1))," ")</f>
        <v xml:space="preserve"> </v>
      </c>
      <c r="Y179">
        <f>IFERROR(VLOOKUP(Проливка[[#This Row],[ID]]*1,'Срок хранения'!A179:B277,2,0),0)</f>
        <v>0</v>
      </c>
      <c r="Z179">
        <f>IFERROR(VLOOKUP(Проливка[[#This Row],[ID]]*1,'Срок хранения'!A179:C277,3,0),0)</f>
        <v>0</v>
      </c>
    </row>
    <row r="180" spans="1:26" x14ac:dyDescent="0.25">
      <c r="A180" s="9"/>
      <c r="B180" s="12" t="str">
        <f t="shared" si="9"/>
        <v xml:space="preserve"> </v>
      </c>
      <c r="C180" s="10" t="str">
        <f t="shared" si="8"/>
        <v xml:space="preserve"> </v>
      </c>
      <c r="D180" s="10">
        <f t="shared" si="10"/>
        <v>0</v>
      </c>
      <c r="E180" s="10">
        <f t="shared" si="11"/>
        <v>0</v>
      </c>
      <c r="W180" t="str">
        <f>IFERROR(MID(Проливка[[#This Row],[Штрихкод ]],1,FIND("-",Проливка[[#This Row],[Штрихкод ]],1)-1)," ")</f>
        <v xml:space="preserve"> </v>
      </c>
      <c r="X180" t="str">
        <f>IFERROR(RIGHT(Проливка[[#This Row],[Штрихкод ]],LEN(Проливка[[#This Row],[Штрихкод ]])-SEARCH("-",Проливка[[#This Row],[Штрихкод ]],1))," ")</f>
        <v xml:space="preserve"> </v>
      </c>
      <c r="Y180">
        <f>IFERROR(VLOOKUP(Проливка[[#This Row],[ID]]*1,'Срок хранения'!A180:B278,2,0),0)</f>
        <v>0</v>
      </c>
      <c r="Z180">
        <f>IFERROR(VLOOKUP(Проливка[[#This Row],[ID]]*1,'Срок хранения'!A180:C278,3,0),0)</f>
        <v>0</v>
      </c>
    </row>
    <row r="181" spans="1:26" x14ac:dyDescent="0.25">
      <c r="A181" s="9"/>
      <c r="B181" s="12" t="str">
        <f t="shared" si="9"/>
        <v xml:space="preserve"> </v>
      </c>
      <c r="C181" s="10" t="str">
        <f t="shared" si="8"/>
        <v xml:space="preserve"> </v>
      </c>
      <c r="D181" s="10">
        <f t="shared" si="10"/>
        <v>0</v>
      </c>
      <c r="E181" s="10">
        <f t="shared" si="11"/>
        <v>0</v>
      </c>
      <c r="W181" t="str">
        <f>IFERROR(MID(Проливка[[#This Row],[Штрихкод ]],1,FIND("-",Проливка[[#This Row],[Штрихкод ]],1)-1)," ")</f>
        <v xml:space="preserve"> </v>
      </c>
      <c r="X181" t="str">
        <f>IFERROR(RIGHT(Проливка[[#This Row],[Штрихкод ]],LEN(Проливка[[#This Row],[Штрихкод ]])-SEARCH("-",Проливка[[#This Row],[Штрихкод ]],1))," ")</f>
        <v xml:space="preserve"> </v>
      </c>
      <c r="Y181">
        <f>IFERROR(VLOOKUP(Проливка[[#This Row],[ID]]*1,'Срок хранения'!A181:B279,2,0),0)</f>
        <v>0</v>
      </c>
      <c r="Z181">
        <f>IFERROR(VLOOKUP(Проливка[[#This Row],[ID]]*1,'Срок хранения'!A181:C279,3,0),0)</f>
        <v>0</v>
      </c>
    </row>
    <row r="182" spans="1:26" x14ac:dyDescent="0.25">
      <c r="A182" s="9"/>
      <c r="B182" s="12" t="str">
        <f t="shared" si="9"/>
        <v xml:space="preserve"> </v>
      </c>
      <c r="C182" s="10" t="str">
        <f t="shared" si="8"/>
        <v xml:space="preserve"> </v>
      </c>
      <c r="D182" s="10">
        <f t="shared" si="10"/>
        <v>0</v>
      </c>
      <c r="E182" s="10">
        <f t="shared" si="11"/>
        <v>0</v>
      </c>
      <c r="W182" t="str">
        <f>IFERROR(MID(Проливка[[#This Row],[Штрихкод ]],1,FIND("-",Проливка[[#This Row],[Штрихкод ]],1)-1)," ")</f>
        <v xml:space="preserve"> </v>
      </c>
      <c r="X182" t="str">
        <f>IFERROR(RIGHT(Проливка[[#This Row],[Штрихкод ]],LEN(Проливка[[#This Row],[Штрихкод ]])-SEARCH("-",Проливка[[#This Row],[Штрихкод ]],1))," ")</f>
        <v xml:space="preserve"> </v>
      </c>
      <c r="Y182">
        <f>IFERROR(VLOOKUP(Проливка[[#This Row],[ID]]*1,'Срок хранения'!A182:B280,2,0),0)</f>
        <v>0</v>
      </c>
      <c r="Z182">
        <f>IFERROR(VLOOKUP(Проливка[[#This Row],[ID]]*1,'Срок хранения'!A182:C280,3,0),0)</f>
        <v>0</v>
      </c>
    </row>
    <row r="183" spans="1:26" x14ac:dyDescent="0.25">
      <c r="A183" s="9"/>
      <c r="B183" s="12" t="str">
        <f t="shared" si="9"/>
        <v xml:space="preserve"> </v>
      </c>
      <c r="C183" s="10" t="str">
        <f t="shared" si="8"/>
        <v xml:space="preserve"> </v>
      </c>
      <c r="D183" s="10">
        <f t="shared" si="10"/>
        <v>0</v>
      </c>
      <c r="E183" s="10">
        <f t="shared" si="11"/>
        <v>0</v>
      </c>
      <c r="W183" t="str">
        <f>IFERROR(MID(Проливка[[#This Row],[Штрихкод ]],1,FIND("-",Проливка[[#This Row],[Штрихкод ]],1)-1)," ")</f>
        <v xml:space="preserve"> </v>
      </c>
      <c r="X183" t="str">
        <f>IFERROR(RIGHT(Проливка[[#This Row],[Штрихкод ]],LEN(Проливка[[#This Row],[Штрихкод ]])-SEARCH("-",Проливка[[#This Row],[Штрихкод ]],1))," ")</f>
        <v xml:space="preserve"> </v>
      </c>
      <c r="Y183">
        <f>IFERROR(VLOOKUP(Проливка[[#This Row],[ID]]*1,'Срок хранения'!A183:B281,2,0),0)</f>
        <v>0</v>
      </c>
      <c r="Z183">
        <f>IFERROR(VLOOKUP(Проливка[[#This Row],[ID]]*1,'Срок хранения'!A183:C281,3,0),0)</f>
        <v>0</v>
      </c>
    </row>
    <row r="184" spans="1:26" x14ac:dyDescent="0.25">
      <c r="A184" s="9"/>
      <c r="B184" s="12" t="str">
        <f t="shared" si="9"/>
        <v xml:space="preserve"> </v>
      </c>
      <c r="C184" s="10" t="str">
        <f t="shared" si="8"/>
        <v xml:space="preserve"> </v>
      </c>
      <c r="D184" s="10">
        <f t="shared" si="10"/>
        <v>0</v>
      </c>
      <c r="E184" s="10">
        <f t="shared" si="11"/>
        <v>0</v>
      </c>
      <c r="W184" t="str">
        <f>IFERROR(MID(Проливка[[#This Row],[Штрихкод ]],1,FIND("-",Проливка[[#This Row],[Штрихкод ]],1)-1)," ")</f>
        <v xml:space="preserve"> </v>
      </c>
      <c r="X184" t="str">
        <f>IFERROR(RIGHT(Проливка[[#This Row],[Штрихкод ]],LEN(Проливка[[#This Row],[Штрихкод ]])-SEARCH("-",Проливка[[#This Row],[Штрихкод ]],1))," ")</f>
        <v xml:space="preserve"> </v>
      </c>
      <c r="Y184">
        <f>IFERROR(VLOOKUP(Проливка[[#This Row],[ID]]*1,'Срок хранения'!A184:B282,2,0),0)</f>
        <v>0</v>
      </c>
      <c r="Z184">
        <f>IFERROR(VLOOKUP(Проливка[[#This Row],[ID]]*1,'Срок хранения'!A184:C282,3,0),0)</f>
        <v>0</v>
      </c>
    </row>
    <row r="185" spans="1:26" x14ac:dyDescent="0.25">
      <c r="A185" s="9"/>
      <c r="B185" s="12" t="str">
        <f t="shared" si="9"/>
        <v xml:space="preserve"> </v>
      </c>
      <c r="C185" s="10" t="str">
        <f t="shared" si="8"/>
        <v xml:space="preserve"> </v>
      </c>
      <c r="D185" s="10">
        <f t="shared" si="10"/>
        <v>0</v>
      </c>
      <c r="E185" s="10">
        <f t="shared" si="11"/>
        <v>0</v>
      </c>
      <c r="W185" t="str">
        <f>IFERROR(MID(Проливка[[#This Row],[Штрихкод ]],1,FIND("-",Проливка[[#This Row],[Штрихкод ]],1)-1)," ")</f>
        <v xml:space="preserve"> </v>
      </c>
      <c r="X185" t="str">
        <f>IFERROR(RIGHT(Проливка[[#This Row],[Штрихкод ]],LEN(Проливка[[#This Row],[Штрихкод ]])-SEARCH("-",Проливка[[#This Row],[Штрихкод ]],1))," ")</f>
        <v xml:space="preserve"> </v>
      </c>
      <c r="Y185">
        <f>IFERROR(VLOOKUP(Проливка[[#This Row],[ID]]*1,'Срок хранения'!A185:B283,2,0),0)</f>
        <v>0</v>
      </c>
      <c r="Z185">
        <f>IFERROR(VLOOKUP(Проливка[[#This Row],[ID]]*1,'Срок хранения'!A185:C283,3,0),0)</f>
        <v>0</v>
      </c>
    </row>
    <row r="186" spans="1:26" x14ac:dyDescent="0.25">
      <c r="A186" s="9"/>
      <c r="B186" s="12" t="str">
        <f t="shared" si="9"/>
        <v xml:space="preserve"> </v>
      </c>
      <c r="C186" s="10" t="str">
        <f t="shared" si="8"/>
        <v xml:space="preserve"> </v>
      </c>
      <c r="D186" s="10">
        <f t="shared" si="10"/>
        <v>0</v>
      </c>
      <c r="E186" s="10">
        <f t="shared" si="11"/>
        <v>0</v>
      </c>
      <c r="W186" t="str">
        <f>IFERROR(MID(Проливка[[#This Row],[Штрихкод ]],1,FIND("-",Проливка[[#This Row],[Штрихкод ]],1)-1)," ")</f>
        <v xml:space="preserve"> </v>
      </c>
      <c r="X186" t="str">
        <f>IFERROR(RIGHT(Проливка[[#This Row],[Штрихкод ]],LEN(Проливка[[#This Row],[Штрихкод ]])-SEARCH("-",Проливка[[#This Row],[Штрихкод ]],1))," ")</f>
        <v xml:space="preserve"> </v>
      </c>
      <c r="Y186">
        <f>IFERROR(VLOOKUP(Проливка[[#This Row],[ID]]*1,'Срок хранения'!A186:B284,2,0),0)</f>
        <v>0</v>
      </c>
      <c r="Z186">
        <f>IFERROR(VLOOKUP(Проливка[[#This Row],[ID]]*1,'Срок хранения'!A186:C284,3,0),0)</f>
        <v>0</v>
      </c>
    </row>
    <row r="187" spans="1:26" x14ac:dyDescent="0.25">
      <c r="A187" s="9"/>
      <c r="B187" s="12" t="str">
        <f t="shared" si="9"/>
        <v xml:space="preserve"> </v>
      </c>
      <c r="C187" s="10" t="str">
        <f t="shared" si="8"/>
        <v xml:space="preserve"> </v>
      </c>
      <c r="D187" s="10">
        <f t="shared" si="10"/>
        <v>0</v>
      </c>
      <c r="E187" s="10">
        <f t="shared" si="11"/>
        <v>0</v>
      </c>
      <c r="W187" t="str">
        <f>IFERROR(MID(Проливка[[#This Row],[Штрихкод ]],1,FIND("-",Проливка[[#This Row],[Штрихкод ]],1)-1)," ")</f>
        <v xml:space="preserve"> </v>
      </c>
      <c r="X187" t="str">
        <f>IFERROR(RIGHT(Проливка[[#This Row],[Штрихкод ]],LEN(Проливка[[#This Row],[Штрихкод ]])-SEARCH("-",Проливка[[#This Row],[Штрихкод ]],1))," ")</f>
        <v xml:space="preserve"> </v>
      </c>
      <c r="Y187">
        <f>IFERROR(VLOOKUP(Проливка[[#This Row],[ID]]*1,'Срок хранения'!A187:B285,2,0),0)</f>
        <v>0</v>
      </c>
      <c r="Z187">
        <f>IFERROR(VLOOKUP(Проливка[[#This Row],[ID]]*1,'Срок хранения'!A187:C285,3,0),0)</f>
        <v>0</v>
      </c>
    </row>
    <row r="188" spans="1:26" x14ac:dyDescent="0.25">
      <c r="A188" s="9"/>
      <c r="B188" s="12" t="str">
        <f t="shared" si="9"/>
        <v xml:space="preserve"> </v>
      </c>
      <c r="C188" s="10" t="str">
        <f t="shared" si="8"/>
        <v xml:space="preserve"> </v>
      </c>
      <c r="D188" s="10">
        <f t="shared" si="10"/>
        <v>0</v>
      </c>
      <c r="E188" s="10">
        <f t="shared" si="11"/>
        <v>0</v>
      </c>
      <c r="W188" t="str">
        <f>IFERROR(MID(Проливка[[#This Row],[Штрихкод ]],1,FIND("-",Проливка[[#This Row],[Штрихкод ]],1)-1)," ")</f>
        <v xml:space="preserve"> </v>
      </c>
      <c r="X188" t="str">
        <f>IFERROR(RIGHT(Проливка[[#This Row],[Штрихкод ]],LEN(Проливка[[#This Row],[Штрихкод ]])-SEARCH("-",Проливка[[#This Row],[Штрихкод ]],1))," ")</f>
        <v xml:space="preserve"> </v>
      </c>
      <c r="Y188">
        <f>IFERROR(VLOOKUP(Проливка[[#This Row],[ID]]*1,'Срок хранения'!A188:B286,2,0),0)</f>
        <v>0</v>
      </c>
      <c r="Z188">
        <f>IFERROR(VLOOKUP(Проливка[[#This Row],[ID]]*1,'Срок хранения'!A188:C286,3,0),0)</f>
        <v>0</v>
      </c>
    </row>
    <row r="189" spans="1:26" x14ac:dyDescent="0.25">
      <c r="A189" s="9"/>
      <c r="B189" s="12" t="str">
        <f t="shared" si="9"/>
        <v xml:space="preserve"> </v>
      </c>
      <c r="C189" s="10" t="str">
        <f t="shared" si="8"/>
        <v xml:space="preserve"> </v>
      </c>
      <c r="D189" s="10">
        <f t="shared" si="10"/>
        <v>0</v>
      </c>
      <c r="E189" s="10">
        <f t="shared" si="11"/>
        <v>0</v>
      </c>
      <c r="W189" t="str">
        <f>IFERROR(MID(Проливка[[#This Row],[Штрихкод ]],1,FIND("-",Проливка[[#This Row],[Штрихкод ]],1)-1)," ")</f>
        <v xml:space="preserve"> </v>
      </c>
      <c r="X189" t="str">
        <f>IFERROR(RIGHT(Проливка[[#This Row],[Штрихкод ]],LEN(Проливка[[#This Row],[Штрихкод ]])-SEARCH("-",Проливка[[#This Row],[Штрихкод ]],1))," ")</f>
        <v xml:space="preserve"> </v>
      </c>
      <c r="Y189">
        <f>IFERROR(VLOOKUP(Проливка[[#This Row],[ID]]*1,'Срок хранения'!A189:B287,2,0),0)</f>
        <v>0</v>
      </c>
      <c r="Z189">
        <f>IFERROR(VLOOKUP(Проливка[[#This Row],[ID]]*1,'Срок хранения'!A189:C287,3,0),0)</f>
        <v>0</v>
      </c>
    </row>
    <row r="190" spans="1:26" x14ac:dyDescent="0.25">
      <c r="A190" s="9"/>
      <c r="B190" s="12" t="str">
        <f t="shared" si="9"/>
        <v xml:space="preserve"> </v>
      </c>
      <c r="C190" s="10" t="str">
        <f t="shared" si="8"/>
        <v xml:space="preserve"> </v>
      </c>
      <c r="D190" s="10">
        <f t="shared" si="10"/>
        <v>0</v>
      </c>
      <c r="E190" s="10">
        <f t="shared" si="11"/>
        <v>0</v>
      </c>
      <c r="W190" t="str">
        <f>IFERROR(MID(Проливка[[#This Row],[Штрихкод ]],1,FIND("-",Проливка[[#This Row],[Штрихкод ]],1)-1)," ")</f>
        <v xml:space="preserve"> </v>
      </c>
      <c r="X190" t="str">
        <f>IFERROR(RIGHT(Проливка[[#This Row],[Штрихкод ]],LEN(Проливка[[#This Row],[Штрихкод ]])-SEARCH("-",Проливка[[#This Row],[Штрихкод ]],1))," ")</f>
        <v xml:space="preserve"> </v>
      </c>
      <c r="Y190">
        <f>IFERROR(VLOOKUP(Проливка[[#This Row],[ID]]*1,'Срок хранения'!A190:B288,2,0),0)</f>
        <v>0</v>
      </c>
      <c r="Z190">
        <f>IFERROR(VLOOKUP(Проливка[[#This Row],[ID]]*1,'Срок хранения'!A190:C288,3,0),0)</f>
        <v>0</v>
      </c>
    </row>
    <row r="191" spans="1:26" x14ac:dyDescent="0.25">
      <c r="A191" s="9"/>
      <c r="B191" s="12" t="str">
        <f t="shared" si="9"/>
        <v xml:space="preserve"> </v>
      </c>
      <c r="C191" s="10" t="str">
        <f t="shared" si="8"/>
        <v xml:space="preserve"> </v>
      </c>
      <c r="D191" s="10">
        <f t="shared" si="10"/>
        <v>0</v>
      </c>
      <c r="E191" s="10">
        <f t="shared" si="11"/>
        <v>0</v>
      </c>
      <c r="W191" t="str">
        <f>IFERROR(MID(Проливка[[#This Row],[Штрихкод ]],1,FIND("-",Проливка[[#This Row],[Штрихкод ]],1)-1)," ")</f>
        <v xml:space="preserve"> </v>
      </c>
      <c r="X191" t="str">
        <f>IFERROR(RIGHT(Проливка[[#This Row],[Штрихкод ]],LEN(Проливка[[#This Row],[Штрихкод ]])-SEARCH("-",Проливка[[#This Row],[Штрихкод ]],1))," ")</f>
        <v xml:space="preserve"> </v>
      </c>
      <c r="Y191">
        <f>IFERROR(VLOOKUP(Проливка[[#This Row],[ID]]*1,'Срок хранения'!A191:B289,2,0),0)</f>
        <v>0</v>
      </c>
      <c r="Z191">
        <f>IFERROR(VLOOKUP(Проливка[[#This Row],[ID]]*1,'Срок хранения'!A191:C289,3,0),0)</f>
        <v>0</v>
      </c>
    </row>
    <row r="192" spans="1:26" x14ac:dyDescent="0.25">
      <c r="A192" s="9"/>
      <c r="B192" s="12" t="str">
        <f t="shared" si="9"/>
        <v xml:space="preserve"> </v>
      </c>
      <c r="C192" s="10" t="str">
        <f t="shared" si="8"/>
        <v xml:space="preserve"> </v>
      </c>
      <c r="D192" s="10">
        <f t="shared" si="10"/>
        <v>0</v>
      </c>
      <c r="E192" s="10">
        <f t="shared" si="11"/>
        <v>0</v>
      </c>
      <c r="W192" t="str">
        <f>IFERROR(MID(Проливка[[#This Row],[Штрихкод ]],1,FIND("-",Проливка[[#This Row],[Штрихкод ]],1)-1)," ")</f>
        <v xml:space="preserve"> </v>
      </c>
      <c r="X192" t="str">
        <f>IFERROR(RIGHT(Проливка[[#This Row],[Штрихкод ]],LEN(Проливка[[#This Row],[Штрихкод ]])-SEARCH("-",Проливка[[#This Row],[Штрихкод ]],1))," ")</f>
        <v xml:space="preserve"> </v>
      </c>
      <c r="Y192">
        <f>IFERROR(VLOOKUP(Проливка[[#This Row],[ID]]*1,'Срок хранения'!A192:B290,2,0),0)</f>
        <v>0</v>
      </c>
      <c r="Z192">
        <f>IFERROR(VLOOKUP(Проливка[[#This Row],[ID]]*1,'Срок хранения'!A192:C290,3,0),0)</f>
        <v>0</v>
      </c>
    </row>
    <row r="193" spans="1:26" x14ac:dyDescent="0.25">
      <c r="A193" s="9"/>
      <c r="B193" s="12" t="str">
        <f t="shared" si="9"/>
        <v xml:space="preserve"> </v>
      </c>
      <c r="C193" s="10" t="str">
        <f t="shared" si="8"/>
        <v xml:space="preserve"> </v>
      </c>
      <c r="D193" s="10">
        <f t="shared" si="10"/>
        <v>0</v>
      </c>
      <c r="E193" s="10">
        <f t="shared" si="11"/>
        <v>0</v>
      </c>
      <c r="W193" t="str">
        <f>IFERROR(MID(Проливка[[#This Row],[Штрихкод ]],1,FIND("-",Проливка[[#This Row],[Штрихкод ]],1)-1)," ")</f>
        <v xml:space="preserve"> </v>
      </c>
      <c r="X193" t="str">
        <f>IFERROR(RIGHT(Проливка[[#This Row],[Штрихкод ]],LEN(Проливка[[#This Row],[Штрихкод ]])-SEARCH("-",Проливка[[#This Row],[Штрихкод ]],1))," ")</f>
        <v xml:space="preserve"> </v>
      </c>
      <c r="Y193">
        <f>IFERROR(VLOOKUP(Проливка[[#This Row],[ID]]*1,'Срок хранения'!A193:B291,2,0),0)</f>
        <v>0</v>
      </c>
      <c r="Z193">
        <f>IFERROR(VLOOKUP(Проливка[[#This Row],[ID]]*1,'Срок хранения'!A193:C291,3,0),0)</f>
        <v>0</v>
      </c>
    </row>
    <row r="194" spans="1:26" x14ac:dyDescent="0.25">
      <c r="A194" s="9"/>
      <c r="B194" s="12" t="str">
        <f t="shared" si="9"/>
        <v xml:space="preserve"> </v>
      </c>
      <c r="C194" s="10" t="str">
        <f t="shared" ref="C194:C257" si="12">X194</f>
        <v xml:space="preserve"> </v>
      </c>
      <c r="D194" s="10">
        <f t="shared" si="10"/>
        <v>0</v>
      </c>
      <c r="E194" s="10">
        <f t="shared" si="11"/>
        <v>0</v>
      </c>
      <c r="W194" t="str">
        <f>IFERROR(MID(Проливка[[#This Row],[Штрихкод ]],1,FIND("-",Проливка[[#This Row],[Штрихкод ]],1)-1)," ")</f>
        <v xml:space="preserve"> </v>
      </c>
      <c r="X194" t="str">
        <f>IFERROR(RIGHT(Проливка[[#This Row],[Штрихкод ]],LEN(Проливка[[#This Row],[Штрихкод ]])-SEARCH("-",Проливка[[#This Row],[Штрихкод ]],1))," ")</f>
        <v xml:space="preserve"> </v>
      </c>
      <c r="Y194">
        <f>IFERROR(VLOOKUP(Проливка[[#This Row],[ID]]*1,'Срок хранения'!A194:B292,2,0),0)</f>
        <v>0</v>
      </c>
      <c r="Z194">
        <f>IFERROR(VLOOKUP(Проливка[[#This Row],[ID]]*1,'Срок хранения'!A194:C292,3,0),0)</f>
        <v>0</v>
      </c>
    </row>
    <row r="195" spans="1:26" x14ac:dyDescent="0.25">
      <c r="A195" s="9"/>
      <c r="B195" s="12" t="str">
        <f t="shared" ref="B195:B258" si="13">W195</f>
        <v xml:space="preserve"> </v>
      </c>
      <c r="C195" s="10" t="str">
        <f t="shared" si="12"/>
        <v xml:space="preserve"> </v>
      </c>
      <c r="D195" s="10">
        <f t="shared" ref="D195:D258" si="14">Y195</f>
        <v>0</v>
      </c>
      <c r="E195" s="10">
        <f t="shared" ref="E195:E258" si="15">Z195</f>
        <v>0</v>
      </c>
      <c r="W195" t="str">
        <f>IFERROR(MID(Проливка[[#This Row],[Штрихкод ]],1,FIND("-",Проливка[[#This Row],[Штрихкод ]],1)-1)," ")</f>
        <v xml:space="preserve"> </v>
      </c>
      <c r="X195" t="str">
        <f>IFERROR(RIGHT(Проливка[[#This Row],[Штрихкод ]],LEN(Проливка[[#This Row],[Штрихкод ]])-SEARCH("-",Проливка[[#This Row],[Штрихкод ]],1))," ")</f>
        <v xml:space="preserve"> </v>
      </c>
      <c r="Y195">
        <f>IFERROR(VLOOKUP(Проливка[[#This Row],[ID]]*1,'Срок хранения'!A195:B293,2,0),0)</f>
        <v>0</v>
      </c>
      <c r="Z195">
        <f>IFERROR(VLOOKUP(Проливка[[#This Row],[ID]]*1,'Срок хранения'!A195:C293,3,0),0)</f>
        <v>0</v>
      </c>
    </row>
    <row r="196" spans="1:26" x14ac:dyDescent="0.25">
      <c r="A196" s="9"/>
      <c r="B196" s="12" t="str">
        <f t="shared" si="13"/>
        <v xml:space="preserve"> </v>
      </c>
      <c r="C196" s="10" t="str">
        <f t="shared" si="12"/>
        <v xml:space="preserve"> </v>
      </c>
      <c r="D196" s="10">
        <f t="shared" si="14"/>
        <v>0</v>
      </c>
      <c r="E196" s="10">
        <f t="shared" si="15"/>
        <v>0</v>
      </c>
      <c r="W196" t="str">
        <f>IFERROR(MID(Проливка[[#This Row],[Штрихкод ]],1,FIND("-",Проливка[[#This Row],[Штрихкод ]],1)-1)," ")</f>
        <v xml:space="preserve"> </v>
      </c>
      <c r="X196" t="str">
        <f>IFERROR(RIGHT(Проливка[[#This Row],[Штрихкод ]],LEN(Проливка[[#This Row],[Штрихкод ]])-SEARCH("-",Проливка[[#This Row],[Штрихкод ]],1))," ")</f>
        <v xml:space="preserve"> </v>
      </c>
      <c r="Y196">
        <f>IFERROR(VLOOKUP(Проливка[[#This Row],[ID]]*1,'Срок хранения'!A196:B294,2,0),0)</f>
        <v>0</v>
      </c>
      <c r="Z196">
        <f>IFERROR(VLOOKUP(Проливка[[#This Row],[ID]]*1,'Срок хранения'!A196:C294,3,0),0)</f>
        <v>0</v>
      </c>
    </row>
    <row r="197" spans="1:26" x14ac:dyDescent="0.25">
      <c r="A197" s="9"/>
      <c r="B197" s="12" t="str">
        <f t="shared" si="13"/>
        <v xml:space="preserve"> </v>
      </c>
      <c r="C197" s="10" t="str">
        <f t="shared" si="12"/>
        <v xml:space="preserve"> </v>
      </c>
      <c r="D197" s="10">
        <f t="shared" si="14"/>
        <v>0</v>
      </c>
      <c r="E197" s="10">
        <f t="shared" si="15"/>
        <v>0</v>
      </c>
      <c r="W197" t="str">
        <f>IFERROR(MID(Проливка[[#This Row],[Штрихкод ]],1,FIND("-",Проливка[[#This Row],[Штрихкод ]],1)-1)," ")</f>
        <v xml:space="preserve"> </v>
      </c>
      <c r="X197" t="str">
        <f>IFERROR(RIGHT(Проливка[[#This Row],[Штрихкод ]],LEN(Проливка[[#This Row],[Штрихкод ]])-SEARCH("-",Проливка[[#This Row],[Штрихкод ]],1))," ")</f>
        <v xml:space="preserve"> </v>
      </c>
      <c r="Y197">
        <f>IFERROR(VLOOKUP(Проливка[[#This Row],[ID]]*1,'Срок хранения'!A197:B295,2,0),0)</f>
        <v>0</v>
      </c>
      <c r="Z197">
        <f>IFERROR(VLOOKUP(Проливка[[#This Row],[ID]]*1,'Срок хранения'!A197:C295,3,0),0)</f>
        <v>0</v>
      </c>
    </row>
    <row r="198" spans="1:26" x14ac:dyDescent="0.25">
      <c r="A198" s="9"/>
      <c r="B198" s="12" t="str">
        <f t="shared" si="13"/>
        <v xml:space="preserve"> </v>
      </c>
      <c r="C198" s="10" t="str">
        <f t="shared" si="12"/>
        <v xml:space="preserve"> </v>
      </c>
      <c r="D198" s="10">
        <f t="shared" si="14"/>
        <v>0</v>
      </c>
      <c r="E198" s="10">
        <f t="shared" si="15"/>
        <v>0</v>
      </c>
      <c r="W198" t="str">
        <f>IFERROR(MID(Проливка[[#This Row],[Штрихкод ]],1,FIND("-",Проливка[[#This Row],[Штрихкод ]],1)-1)," ")</f>
        <v xml:space="preserve"> </v>
      </c>
      <c r="X198" t="str">
        <f>IFERROR(RIGHT(Проливка[[#This Row],[Штрихкод ]],LEN(Проливка[[#This Row],[Штрихкод ]])-SEARCH("-",Проливка[[#This Row],[Штрихкод ]],1))," ")</f>
        <v xml:space="preserve"> </v>
      </c>
      <c r="Y198">
        <f>IFERROR(VLOOKUP(Проливка[[#This Row],[ID]]*1,'Срок хранения'!A198:B296,2,0),0)</f>
        <v>0</v>
      </c>
      <c r="Z198">
        <f>IFERROR(VLOOKUP(Проливка[[#This Row],[ID]]*1,'Срок хранения'!A198:C296,3,0),0)</f>
        <v>0</v>
      </c>
    </row>
    <row r="199" spans="1:26" x14ac:dyDescent="0.25">
      <c r="A199" s="9"/>
      <c r="B199" s="12" t="str">
        <f t="shared" si="13"/>
        <v xml:space="preserve"> </v>
      </c>
      <c r="C199" s="10" t="str">
        <f t="shared" si="12"/>
        <v xml:space="preserve"> </v>
      </c>
      <c r="D199" s="10">
        <f t="shared" si="14"/>
        <v>0</v>
      </c>
      <c r="E199" s="10">
        <f t="shared" si="15"/>
        <v>0</v>
      </c>
      <c r="W199" t="str">
        <f>IFERROR(MID(Проливка[[#This Row],[Штрихкод ]],1,FIND("-",Проливка[[#This Row],[Штрихкод ]],1)-1)," ")</f>
        <v xml:space="preserve"> </v>
      </c>
      <c r="X199" t="str">
        <f>IFERROR(RIGHT(Проливка[[#This Row],[Штрихкод ]],LEN(Проливка[[#This Row],[Штрихкод ]])-SEARCH("-",Проливка[[#This Row],[Штрихкод ]],1))," ")</f>
        <v xml:space="preserve"> </v>
      </c>
      <c r="Y199">
        <f>IFERROR(VLOOKUP(Проливка[[#This Row],[ID]]*1,'Срок хранения'!A199:B297,2,0),0)</f>
        <v>0</v>
      </c>
      <c r="Z199">
        <f>IFERROR(VLOOKUP(Проливка[[#This Row],[ID]]*1,'Срок хранения'!A199:C297,3,0),0)</f>
        <v>0</v>
      </c>
    </row>
    <row r="200" spans="1:26" x14ac:dyDescent="0.25">
      <c r="A200" s="9"/>
      <c r="B200" s="12" t="str">
        <f t="shared" si="13"/>
        <v xml:space="preserve"> </v>
      </c>
      <c r="C200" s="10" t="str">
        <f t="shared" si="12"/>
        <v xml:space="preserve"> </v>
      </c>
      <c r="D200" s="10">
        <f t="shared" si="14"/>
        <v>0</v>
      </c>
      <c r="E200" s="10">
        <f t="shared" si="15"/>
        <v>0</v>
      </c>
      <c r="W200" t="str">
        <f>IFERROR(MID(Проливка[[#This Row],[Штрихкод ]],1,FIND("-",Проливка[[#This Row],[Штрихкод ]],1)-1)," ")</f>
        <v xml:space="preserve"> </v>
      </c>
      <c r="X200" t="str">
        <f>IFERROR(RIGHT(Проливка[[#This Row],[Штрихкод ]],LEN(Проливка[[#This Row],[Штрихкод ]])-SEARCH("-",Проливка[[#This Row],[Штрихкод ]],1))," ")</f>
        <v xml:space="preserve"> </v>
      </c>
      <c r="Y200">
        <f>IFERROR(VLOOKUP(Проливка[[#This Row],[ID]]*1,'Срок хранения'!A200:B298,2,0),0)</f>
        <v>0</v>
      </c>
      <c r="Z200">
        <f>IFERROR(VLOOKUP(Проливка[[#This Row],[ID]]*1,'Срок хранения'!A200:C298,3,0),0)</f>
        <v>0</v>
      </c>
    </row>
    <row r="201" spans="1:26" x14ac:dyDescent="0.25">
      <c r="A201" s="9"/>
      <c r="B201" s="12" t="str">
        <f t="shared" si="13"/>
        <v xml:space="preserve"> </v>
      </c>
      <c r="C201" s="10" t="str">
        <f t="shared" si="12"/>
        <v xml:space="preserve"> </v>
      </c>
      <c r="D201" s="10">
        <f t="shared" si="14"/>
        <v>0</v>
      </c>
      <c r="E201" s="10">
        <f t="shared" si="15"/>
        <v>0</v>
      </c>
      <c r="W201" t="str">
        <f>IFERROR(MID(Проливка[[#This Row],[Штрихкод ]],1,FIND("-",Проливка[[#This Row],[Штрихкод ]],1)-1)," ")</f>
        <v xml:space="preserve"> </v>
      </c>
      <c r="X201" t="str">
        <f>IFERROR(RIGHT(Проливка[[#This Row],[Штрихкод ]],LEN(Проливка[[#This Row],[Штрихкод ]])-SEARCH("-",Проливка[[#This Row],[Штрихкод ]],1))," ")</f>
        <v xml:space="preserve"> </v>
      </c>
      <c r="Y201">
        <f>IFERROR(VLOOKUP(Проливка[[#This Row],[ID]]*1,'Срок хранения'!A201:B299,2,0),0)</f>
        <v>0</v>
      </c>
      <c r="Z201">
        <f>IFERROR(VLOOKUP(Проливка[[#This Row],[ID]]*1,'Срок хранения'!A201:C299,3,0),0)</f>
        <v>0</v>
      </c>
    </row>
    <row r="202" spans="1:26" x14ac:dyDescent="0.25">
      <c r="A202" s="9"/>
      <c r="B202" s="12" t="str">
        <f t="shared" si="13"/>
        <v xml:space="preserve"> </v>
      </c>
      <c r="C202" s="10" t="str">
        <f t="shared" si="12"/>
        <v xml:space="preserve"> </v>
      </c>
      <c r="D202" s="10">
        <f t="shared" si="14"/>
        <v>0</v>
      </c>
      <c r="E202" s="10">
        <f t="shared" si="15"/>
        <v>0</v>
      </c>
      <c r="W202" t="str">
        <f>IFERROR(MID(Проливка[[#This Row],[Штрихкод ]],1,FIND("-",Проливка[[#This Row],[Штрихкод ]],1)-1)," ")</f>
        <v xml:space="preserve"> </v>
      </c>
      <c r="X202" t="str">
        <f>IFERROR(RIGHT(Проливка[[#This Row],[Штрихкод ]],LEN(Проливка[[#This Row],[Штрихкод ]])-SEARCH("-",Проливка[[#This Row],[Штрихкод ]],1))," ")</f>
        <v xml:space="preserve"> </v>
      </c>
      <c r="Y202">
        <f>IFERROR(VLOOKUP(Проливка[[#This Row],[ID]]*1,'Срок хранения'!A202:B300,2,0),0)</f>
        <v>0</v>
      </c>
      <c r="Z202">
        <f>IFERROR(VLOOKUP(Проливка[[#This Row],[ID]]*1,'Срок хранения'!A202:C300,3,0),0)</f>
        <v>0</v>
      </c>
    </row>
    <row r="203" spans="1:26" x14ac:dyDescent="0.25">
      <c r="A203" s="9"/>
      <c r="B203" s="12" t="str">
        <f t="shared" si="13"/>
        <v xml:space="preserve"> </v>
      </c>
      <c r="C203" s="10" t="str">
        <f t="shared" si="12"/>
        <v xml:space="preserve"> </v>
      </c>
      <c r="D203" s="10">
        <f t="shared" si="14"/>
        <v>0</v>
      </c>
      <c r="E203" s="10">
        <f t="shared" si="15"/>
        <v>0</v>
      </c>
      <c r="W203" t="str">
        <f>IFERROR(MID(Проливка[[#This Row],[Штрихкод ]],1,FIND("-",Проливка[[#This Row],[Штрихкод ]],1)-1)," ")</f>
        <v xml:space="preserve"> </v>
      </c>
      <c r="X203" t="str">
        <f>IFERROR(RIGHT(Проливка[[#This Row],[Штрихкод ]],LEN(Проливка[[#This Row],[Штрихкод ]])-SEARCH("-",Проливка[[#This Row],[Штрихкод ]],1))," ")</f>
        <v xml:space="preserve"> </v>
      </c>
      <c r="Y203">
        <f>IFERROR(VLOOKUP(Проливка[[#This Row],[ID]]*1,'Срок хранения'!A203:B301,2,0),0)</f>
        <v>0</v>
      </c>
      <c r="Z203">
        <f>IFERROR(VLOOKUP(Проливка[[#This Row],[ID]]*1,'Срок хранения'!A203:C301,3,0),0)</f>
        <v>0</v>
      </c>
    </row>
    <row r="204" spans="1:26" x14ac:dyDescent="0.25">
      <c r="A204" s="9"/>
      <c r="B204" s="12" t="str">
        <f t="shared" si="13"/>
        <v xml:space="preserve"> </v>
      </c>
      <c r="C204" s="10" t="str">
        <f t="shared" si="12"/>
        <v xml:space="preserve"> </v>
      </c>
      <c r="D204" s="10">
        <f t="shared" si="14"/>
        <v>0</v>
      </c>
      <c r="E204" s="10">
        <f t="shared" si="15"/>
        <v>0</v>
      </c>
      <c r="W204" t="str">
        <f>IFERROR(MID(Проливка[[#This Row],[Штрихкод ]],1,FIND("-",Проливка[[#This Row],[Штрихкод ]],1)-1)," ")</f>
        <v xml:space="preserve"> </v>
      </c>
      <c r="X204" t="str">
        <f>IFERROR(RIGHT(Проливка[[#This Row],[Штрихкод ]],LEN(Проливка[[#This Row],[Штрихкод ]])-SEARCH("-",Проливка[[#This Row],[Штрихкод ]],1))," ")</f>
        <v xml:space="preserve"> </v>
      </c>
      <c r="Y204">
        <f>IFERROR(VLOOKUP(Проливка[[#This Row],[ID]]*1,'Срок хранения'!A204:B302,2,0),0)</f>
        <v>0</v>
      </c>
      <c r="Z204">
        <f>IFERROR(VLOOKUP(Проливка[[#This Row],[ID]]*1,'Срок хранения'!A204:C302,3,0),0)</f>
        <v>0</v>
      </c>
    </row>
    <row r="205" spans="1:26" x14ac:dyDescent="0.25">
      <c r="A205" s="9"/>
      <c r="B205" s="12" t="str">
        <f t="shared" si="13"/>
        <v xml:space="preserve"> </v>
      </c>
      <c r="C205" s="10" t="str">
        <f t="shared" si="12"/>
        <v xml:space="preserve"> </v>
      </c>
      <c r="D205" s="10">
        <f t="shared" si="14"/>
        <v>0</v>
      </c>
      <c r="E205" s="10">
        <f t="shared" si="15"/>
        <v>0</v>
      </c>
      <c r="W205" t="str">
        <f>IFERROR(MID(Проливка[[#This Row],[Штрихкод ]],1,FIND("-",Проливка[[#This Row],[Штрихкод ]],1)-1)," ")</f>
        <v xml:space="preserve"> </v>
      </c>
      <c r="X205" t="str">
        <f>IFERROR(RIGHT(Проливка[[#This Row],[Штрихкод ]],LEN(Проливка[[#This Row],[Штрихкод ]])-SEARCH("-",Проливка[[#This Row],[Штрихкод ]],1))," ")</f>
        <v xml:space="preserve"> </v>
      </c>
      <c r="Y205">
        <f>IFERROR(VLOOKUP(Проливка[[#This Row],[ID]]*1,'Срок хранения'!A205:B303,2,0),0)</f>
        <v>0</v>
      </c>
      <c r="Z205">
        <f>IFERROR(VLOOKUP(Проливка[[#This Row],[ID]]*1,'Срок хранения'!A205:C303,3,0),0)</f>
        <v>0</v>
      </c>
    </row>
    <row r="206" spans="1:26" x14ac:dyDescent="0.25">
      <c r="A206" s="9"/>
      <c r="B206" s="12" t="str">
        <f t="shared" si="13"/>
        <v xml:space="preserve"> </v>
      </c>
      <c r="C206" s="10" t="str">
        <f t="shared" si="12"/>
        <v xml:space="preserve"> </v>
      </c>
      <c r="D206" s="10">
        <f t="shared" si="14"/>
        <v>0</v>
      </c>
      <c r="E206" s="10">
        <f t="shared" si="15"/>
        <v>0</v>
      </c>
      <c r="W206" t="str">
        <f>IFERROR(MID(Проливка[[#This Row],[Штрихкод ]],1,FIND("-",Проливка[[#This Row],[Штрихкод ]],1)-1)," ")</f>
        <v xml:space="preserve"> </v>
      </c>
      <c r="X206" t="str">
        <f>IFERROR(RIGHT(Проливка[[#This Row],[Штрихкод ]],LEN(Проливка[[#This Row],[Штрихкод ]])-SEARCH("-",Проливка[[#This Row],[Штрихкод ]],1))," ")</f>
        <v xml:space="preserve"> </v>
      </c>
      <c r="Y206">
        <f>IFERROR(VLOOKUP(Проливка[[#This Row],[ID]]*1,'Срок хранения'!A206:B304,2,0),0)</f>
        <v>0</v>
      </c>
      <c r="Z206">
        <f>IFERROR(VLOOKUP(Проливка[[#This Row],[ID]]*1,'Срок хранения'!A206:C304,3,0),0)</f>
        <v>0</v>
      </c>
    </row>
    <row r="207" spans="1:26" x14ac:dyDescent="0.25">
      <c r="A207" s="9"/>
      <c r="B207" s="12" t="str">
        <f t="shared" si="13"/>
        <v xml:space="preserve"> </v>
      </c>
      <c r="C207" s="10" t="str">
        <f t="shared" si="12"/>
        <v xml:space="preserve"> </v>
      </c>
      <c r="D207" s="10">
        <f t="shared" si="14"/>
        <v>0</v>
      </c>
      <c r="E207" s="10">
        <f t="shared" si="15"/>
        <v>0</v>
      </c>
      <c r="W207" t="str">
        <f>IFERROR(MID(Проливка[[#This Row],[Штрихкод ]],1,FIND("-",Проливка[[#This Row],[Штрихкод ]],1)-1)," ")</f>
        <v xml:space="preserve"> </v>
      </c>
      <c r="X207" t="str">
        <f>IFERROR(RIGHT(Проливка[[#This Row],[Штрихкод ]],LEN(Проливка[[#This Row],[Штрихкод ]])-SEARCH("-",Проливка[[#This Row],[Штрихкод ]],1))," ")</f>
        <v xml:space="preserve"> </v>
      </c>
      <c r="Y207">
        <f>IFERROR(VLOOKUP(Проливка[[#This Row],[ID]]*1,'Срок хранения'!A207:B305,2,0),0)</f>
        <v>0</v>
      </c>
      <c r="Z207">
        <f>IFERROR(VLOOKUP(Проливка[[#This Row],[ID]]*1,'Срок хранения'!A207:C305,3,0),0)</f>
        <v>0</v>
      </c>
    </row>
    <row r="208" spans="1:26" x14ac:dyDescent="0.25">
      <c r="A208" s="9"/>
      <c r="B208" s="12" t="str">
        <f t="shared" si="13"/>
        <v xml:space="preserve"> </v>
      </c>
      <c r="C208" s="10" t="str">
        <f t="shared" si="12"/>
        <v xml:space="preserve"> </v>
      </c>
      <c r="D208" s="10">
        <f t="shared" si="14"/>
        <v>0</v>
      </c>
      <c r="E208" s="10">
        <f t="shared" si="15"/>
        <v>0</v>
      </c>
      <c r="W208" t="str">
        <f>IFERROR(MID(Проливка[[#This Row],[Штрихкод ]],1,FIND("-",Проливка[[#This Row],[Штрихкод ]],1)-1)," ")</f>
        <v xml:space="preserve"> </v>
      </c>
      <c r="X208" t="str">
        <f>IFERROR(RIGHT(Проливка[[#This Row],[Штрихкод ]],LEN(Проливка[[#This Row],[Штрихкод ]])-SEARCH("-",Проливка[[#This Row],[Штрихкод ]],1))," ")</f>
        <v xml:space="preserve"> </v>
      </c>
      <c r="Y208">
        <f>IFERROR(VLOOKUP(Проливка[[#This Row],[ID]]*1,'Срок хранения'!A208:B306,2,0),0)</f>
        <v>0</v>
      </c>
      <c r="Z208">
        <f>IFERROR(VLOOKUP(Проливка[[#This Row],[ID]]*1,'Срок хранения'!A208:C306,3,0),0)</f>
        <v>0</v>
      </c>
    </row>
    <row r="209" spans="1:26" x14ac:dyDescent="0.25">
      <c r="A209" s="9"/>
      <c r="B209" s="12" t="str">
        <f t="shared" si="13"/>
        <v xml:space="preserve"> </v>
      </c>
      <c r="C209" s="10" t="str">
        <f t="shared" si="12"/>
        <v xml:space="preserve"> </v>
      </c>
      <c r="D209" s="10">
        <f t="shared" si="14"/>
        <v>0</v>
      </c>
      <c r="E209" s="10">
        <f t="shared" si="15"/>
        <v>0</v>
      </c>
      <c r="W209" t="str">
        <f>IFERROR(MID(Проливка[[#This Row],[Штрихкод ]],1,FIND("-",Проливка[[#This Row],[Штрихкод ]],1)-1)," ")</f>
        <v xml:space="preserve"> </v>
      </c>
      <c r="X209" t="str">
        <f>IFERROR(RIGHT(Проливка[[#This Row],[Штрихкод ]],LEN(Проливка[[#This Row],[Штрихкод ]])-SEARCH("-",Проливка[[#This Row],[Штрихкод ]],1))," ")</f>
        <v xml:space="preserve"> </v>
      </c>
      <c r="Y209">
        <f>IFERROR(VLOOKUP(Проливка[[#This Row],[ID]]*1,'Срок хранения'!A209:B307,2,0),0)</f>
        <v>0</v>
      </c>
      <c r="Z209">
        <f>IFERROR(VLOOKUP(Проливка[[#This Row],[ID]]*1,'Срок хранения'!A209:C307,3,0),0)</f>
        <v>0</v>
      </c>
    </row>
    <row r="210" spans="1:26" x14ac:dyDescent="0.25">
      <c r="A210" s="9"/>
      <c r="B210" s="12" t="str">
        <f t="shared" si="13"/>
        <v xml:space="preserve"> </v>
      </c>
      <c r="C210" s="10" t="str">
        <f t="shared" si="12"/>
        <v xml:space="preserve"> </v>
      </c>
      <c r="D210" s="10">
        <f t="shared" si="14"/>
        <v>0</v>
      </c>
      <c r="E210" s="10">
        <f t="shared" si="15"/>
        <v>0</v>
      </c>
      <c r="W210" t="str">
        <f>IFERROR(MID(Проливка[[#This Row],[Штрихкод ]],1,FIND("-",Проливка[[#This Row],[Штрихкод ]],1)-1)," ")</f>
        <v xml:space="preserve"> </v>
      </c>
      <c r="X210" t="str">
        <f>IFERROR(RIGHT(Проливка[[#This Row],[Штрихкод ]],LEN(Проливка[[#This Row],[Штрихкод ]])-SEARCH("-",Проливка[[#This Row],[Штрихкод ]],1))," ")</f>
        <v xml:space="preserve"> </v>
      </c>
      <c r="Y210">
        <f>IFERROR(VLOOKUP(Проливка[[#This Row],[ID]]*1,'Срок хранения'!A210:B308,2,0),0)</f>
        <v>0</v>
      </c>
      <c r="Z210">
        <f>IFERROR(VLOOKUP(Проливка[[#This Row],[ID]]*1,'Срок хранения'!A210:C308,3,0),0)</f>
        <v>0</v>
      </c>
    </row>
    <row r="211" spans="1:26" x14ac:dyDescent="0.25">
      <c r="A211" s="9"/>
      <c r="B211" s="12" t="str">
        <f t="shared" si="13"/>
        <v xml:space="preserve"> </v>
      </c>
      <c r="C211" s="10" t="str">
        <f t="shared" si="12"/>
        <v xml:space="preserve"> </v>
      </c>
      <c r="D211" s="10">
        <f t="shared" si="14"/>
        <v>0</v>
      </c>
      <c r="E211" s="10">
        <f t="shared" si="15"/>
        <v>0</v>
      </c>
      <c r="W211" t="str">
        <f>IFERROR(MID(Проливка[[#This Row],[Штрихкод ]],1,FIND("-",Проливка[[#This Row],[Штрихкод ]],1)-1)," ")</f>
        <v xml:space="preserve"> </v>
      </c>
      <c r="X211" t="str">
        <f>IFERROR(RIGHT(Проливка[[#This Row],[Штрихкод ]],LEN(Проливка[[#This Row],[Штрихкод ]])-SEARCH("-",Проливка[[#This Row],[Штрихкод ]],1))," ")</f>
        <v xml:space="preserve"> </v>
      </c>
      <c r="Y211">
        <f>IFERROR(VLOOKUP(Проливка[[#This Row],[ID]]*1,'Срок хранения'!A211:B309,2,0),0)</f>
        <v>0</v>
      </c>
      <c r="Z211">
        <f>IFERROR(VLOOKUP(Проливка[[#This Row],[ID]]*1,'Срок хранения'!A211:C309,3,0),0)</f>
        <v>0</v>
      </c>
    </row>
    <row r="212" spans="1:26" x14ac:dyDescent="0.25">
      <c r="A212" s="9"/>
      <c r="B212" s="12" t="str">
        <f t="shared" si="13"/>
        <v xml:space="preserve"> </v>
      </c>
      <c r="C212" s="10" t="str">
        <f t="shared" si="12"/>
        <v xml:space="preserve"> </v>
      </c>
      <c r="D212" s="10">
        <f t="shared" si="14"/>
        <v>0</v>
      </c>
      <c r="E212" s="10">
        <f t="shared" si="15"/>
        <v>0</v>
      </c>
      <c r="W212" t="str">
        <f>IFERROR(MID(Проливка[[#This Row],[Штрихкод ]],1,FIND("-",Проливка[[#This Row],[Штрихкод ]],1)-1)," ")</f>
        <v xml:space="preserve"> </v>
      </c>
      <c r="X212" t="str">
        <f>IFERROR(RIGHT(Проливка[[#This Row],[Штрихкод ]],LEN(Проливка[[#This Row],[Штрихкод ]])-SEARCH("-",Проливка[[#This Row],[Штрихкод ]],1))," ")</f>
        <v xml:space="preserve"> </v>
      </c>
      <c r="Y212">
        <f>IFERROR(VLOOKUP(Проливка[[#This Row],[ID]]*1,'Срок хранения'!A212:B310,2,0),0)</f>
        <v>0</v>
      </c>
      <c r="Z212">
        <f>IFERROR(VLOOKUP(Проливка[[#This Row],[ID]]*1,'Срок хранения'!A212:C310,3,0),0)</f>
        <v>0</v>
      </c>
    </row>
    <row r="213" spans="1:26" x14ac:dyDescent="0.25">
      <c r="A213" s="9"/>
      <c r="B213" s="12" t="str">
        <f t="shared" si="13"/>
        <v xml:space="preserve"> </v>
      </c>
      <c r="C213" s="10" t="str">
        <f t="shared" si="12"/>
        <v xml:space="preserve"> </v>
      </c>
      <c r="D213" s="10">
        <f t="shared" si="14"/>
        <v>0</v>
      </c>
      <c r="E213" s="10">
        <f t="shared" si="15"/>
        <v>0</v>
      </c>
      <c r="W213" t="str">
        <f>IFERROR(MID(Проливка[[#This Row],[Штрихкод ]],1,FIND("-",Проливка[[#This Row],[Штрихкод ]],1)-1)," ")</f>
        <v xml:space="preserve"> </v>
      </c>
      <c r="X213" t="str">
        <f>IFERROR(RIGHT(Проливка[[#This Row],[Штрихкод ]],LEN(Проливка[[#This Row],[Штрихкод ]])-SEARCH("-",Проливка[[#This Row],[Штрихкод ]],1))," ")</f>
        <v xml:space="preserve"> </v>
      </c>
      <c r="Y213">
        <f>IFERROR(VLOOKUP(Проливка[[#This Row],[ID]]*1,'Срок хранения'!A213:B311,2,0),0)</f>
        <v>0</v>
      </c>
      <c r="Z213">
        <f>IFERROR(VLOOKUP(Проливка[[#This Row],[ID]]*1,'Срок хранения'!A213:C311,3,0),0)</f>
        <v>0</v>
      </c>
    </row>
    <row r="214" spans="1:26" x14ac:dyDescent="0.25">
      <c r="A214" s="9"/>
      <c r="B214" s="12" t="str">
        <f t="shared" si="13"/>
        <v xml:space="preserve"> </v>
      </c>
      <c r="C214" s="10" t="str">
        <f t="shared" si="12"/>
        <v xml:space="preserve"> </v>
      </c>
      <c r="D214" s="10">
        <f t="shared" si="14"/>
        <v>0</v>
      </c>
      <c r="E214" s="10">
        <f t="shared" si="15"/>
        <v>0</v>
      </c>
      <c r="W214" t="str">
        <f>IFERROR(MID(Проливка[[#This Row],[Штрихкод ]],1,FIND("-",Проливка[[#This Row],[Штрихкод ]],1)-1)," ")</f>
        <v xml:space="preserve"> </v>
      </c>
      <c r="X214" t="str">
        <f>IFERROR(RIGHT(Проливка[[#This Row],[Штрихкод ]],LEN(Проливка[[#This Row],[Штрихкод ]])-SEARCH("-",Проливка[[#This Row],[Штрихкод ]],1))," ")</f>
        <v xml:space="preserve"> </v>
      </c>
      <c r="Y214">
        <f>IFERROR(VLOOKUP(Проливка[[#This Row],[ID]]*1,'Срок хранения'!A214:B312,2,0),0)</f>
        <v>0</v>
      </c>
      <c r="Z214">
        <f>IFERROR(VLOOKUP(Проливка[[#This Row],[ID]]*1,'Срок хранения'!A214:C312,3,0),0)</f>
        <v>0</v>
      </c>
    </row>
    <row r="215" spans="1:26" x14ac:dyDescent="0.25">
      <c r="A215" s="9"/>
      <c r="B215" s="12" t="str">
        <f t="shared" si="13"/>
        <v xml:space="preserve"> </v>
      </c>
      <c r="C215" s="10" t="str">
        <f t="shared" si="12"/>
        <v xml:space="preserve"> </v>
      </c>
      <c r="D215" s="10">
        <f t="shared" si="14"/>
        <v>0</v>
      </c>
      <c r="E215" s="10">
        <f t="shared" si="15"/>
        <v>0</v>
      </c>
      <c r="W215" t="str">
        <f>IFERROR(MID(Проливка[[#This Row],[Штрихкод ]],1,FIND("-",Проливка[[#This Row],[Штрихкод ]],1)-1)," ")</f>
        <v xml:space="preserve"> </v>
      </c>
      <c r="X215" t="str">
        <f>IFERROR(RIGHT(Проливка[[#This Row],[Штрихкод ]],LEN(Проливка[[#This Row],[Штрихкод ]])-SEARCH("-",Проливка[[#This Row],[Штрихкод ]],1))," ")</f>
        <v xml:space="preserve"> </v>
      </c>
      <c r="Y215">
        <f>IFERROR(VLOOKUP(Проливка[[#This Row],[ID]]*1,'Срок хранения'!A215:B313,2,0),0)</f>
        <v>0</v>
      </c>
      <c r="Z215">
        <f>IFERROR(VLOOKUP(Проливка[[#This Row],[ID]]*1,'Срок хранения'!A215:C313,3,0),0)</f>
        <v>0</v>
      </c>
    </row>
    <row r="216" spans="1:26" x14ac:dyDescent="0.25">
      <c r="A216" s="9"/>
      <c r="B216" s="12" t="str">
        <f t="shared" si="13"/>
        <v xml:space="preserve"> </v>
      </c>
      <c r="C216" s="10" t="str">
        <f t="shared" si="12"/>
        <v xml:space="preserve"> </v>
      </c>
      <c r="D216" s="10">
        <f t="shared" si="14"/>
        <v>0</v>
      </c>
      <c r="E216" s="10">
        <f t="shared" si="15"/>
        <v>0</v>
      </c>
      <c r="W216" t="str">
        <f>IFERROR(MID(Проливка[[#This Row],[Штрихкод ]],1,FIND("-",Проливка[[#This Row],[Штрихкод ]],1)-1)," ")</f>
        <v xml:space="preserve"> </v>
      </c>
      <c r="X216" t="str">
        <f>IFERROR(RIGHT(Проливка[[#This Row],[Штрихкод ]],LEN(Проливка[[#This Row],[Штрихкод ]])-SEARCH("-",Проливка[[#This Row],[Штрихкод ]],1))," ")</f>
        <v xml:space="preserve"> </v>
      </c>
      <c r="Y216">
        <f>IFERROR(VLOOKUP(Проливка[[#This Row],[ID]]*1,'Срок хранения'!A216:B314,2,0),0)</f>
        <v>0</v>
      </c>
      <c r="Z216">
        <f>IFERROR(VLOOKUP(Проливка[[#This Row],[ID]]*1,'Срок хранения'!A216:C314,3,0),0)</f>
        <v>0</v>
      </c>
    </row>
    <row r="217" spans="1:26" x14ac:dyDescent="0.25">
      <c r="A217" s="9"/>
      <c r="B217" s="12" t="str">
        <f t="shared" si="13"/>
        <v xml:space="preserve"> </v>
      </c>
      <c r="C217" s="10" t="str">
        <f t="shared" si="12"/>
        <v xml:space="preserve"> </v>
      </c>
      <c r="D217" s="10">
        <f t="shared" si="14"/>
        <v>0</v>
      </c>
      <c r="E217" s="10">
        <f t="shared" si="15"/>
        <v>0</v>
      </c>
      <c r="W217" t="str">
        <f>IFERROR(MID(Проливка[[#This Row],[Штрихкод ]],1,FIND("-",Проливка[[#This Row],[Штрихкод ]],1)-1)," ")</f>
        <v xml:space="preserve"> </v>
      </c>
      <c r="X217" t="str">
        <f>IFERROR(RIGHT(Проливка[[#This Row],[Штрихкод ]],LEN(Проливка[[#This Row],[Штрихкод ]])-SEARCH("-",Проливка[[#This Row],[Штрихкод ]],1))," ")</f>
        <v xml:space="preserve"> </v>
      </c>
      <c r="Y217">
        <f>IFERROR(VLOOKUP(Проливка[[#This Row],[ID]]*1,'Срок хранения'!A217:B315,2,0),0)</f>
        <v>0</v>
      </c>
      <c r="Z217">
        <f>IFERROR(VLOOKUP(Проливка[[#This Row],[ID]]*1,'Срок хранения'!A217:C315,3,0),0)</f>
        <v>0</v>
      </c>
    </row>
    <row r="218" spans="1:26" x14ac:dyDescent="0.25">
      <c r="A218" s="9"/>
      <c r="B218" s="12" t="str">
        <f t="shared" si="13"/>
        <v xml:space="preserve"> </v>
      </c>
      <c r="C218" s="10" t="str">
        <f t="shared" si="12"/>
        <v xml:space="preserve"> </v>
      </c>
      <c r="D218" s="10">
        <f t="shared" si="14"/>
        <v>0</v>
      </c>
      <c r="E218" s="10">
        <f t="shared" si="15"/>
        <v>0</v>
      </c>
      <c r="W218" t="str">
        <f>IFERROR(MID(Проливка[[#This Row],[Штрихкод ]],1,FIND("-",Проливка[[#This Row],[Штрихкод ]],1)-1)," ")</f>
        <v xml:space="preserve"> </v>
      </c>
      <c r="X218" t="str">
        <f>IFERROR(RIGHT(Проливка[[#This Row],[Штрихкод ]],LEN(Проливка[[#This Row],[Штрихкод ]])-SEARCH("-",Проливка[[#This Row],[Штрихкод ]],1))," ")</f>
        <v xml:space="preserve"> </v>
      </c>
      <c r="Y218">
        <f>IFERROR(VLOOKUP(Проливка[[#This Row],[ID]]*1,'Срок хранения'!A218:B316,2,0),0)</f>
        <v>0</v>
      </c>
      <c r="Z218">
        <f>IFERROR(VLOOKUP(Проливка[[#This Row],[ID]]*1,'Срок хранения'!A218:C316,3,0),0)</f>
        <v>0</v>
      </c>
    </row>
    <row r="219" spans="1:26" x14ac:dyDescent="0.25">
      <c r="A219" s="9"/>
      <c r="B219" s="12" t="str">
        <f t="shared" si="13"/>
        <v xml:space="preserve"> </v>
      </c>
      <c r="C219" s="10" t="str">
        <f t="shared" si="12"/>
        <v xml:space="preserve"> </v>
      </c>
      <c r="D219" s="10">
        <f t="shared" si="14"/>
        <v>0</v>
      </c>
      <c r="E219" s="10">
        <f t="shared" si="15"/>
        <v>0</v>
      </c>
      <c r="W219" t="str">
        <f>IFERROR(MID(Проливка[[#This Row],[Штрихкод ]],1,FIND("-",Проливка[[#This Row],[Штрихкод ]],1)-1)," ")</f>
        <v xml:space="preserve"> </v>
      </c>
      <c r="X219" t="str">
        <f>IFERROR(RIGHT(Проливка[[#This Row],[Штрихкод ]],LEN(Проливка[[#This Row],[Штрихкод ]])-SEARCH("-",Проливка[[#This Row],[Штрихкод ]],1))," ")</f>
        <v xml:space="preserve"> </v>
      </c>
      <c r="Y219">
        <f>IFERROR(VLOOKUP(Проливка[[#This Row],[ID]]*1,'Срок хранения'!A219:B317,2,0),0)</f>
        <v>0</v>
      </c>
      <c r="Z219">
        <f>IFERROR(VLOOKUP(Проливка[[#This Row],[ID]]*1,'Срок хранения'!A219:C317,3,0),0)</f>
        <v>0</v>
      </c>
    </row>
    <row r="220" spans="1:26" x14ac:dyDescent="0.25">
      <c r="A220" s="9"/>
      <c r="B220" s="12" t="str">
        <f t="shared" si="13"/>
        <v xml:space="preserve"> </v>
      </c>
      <c r="C220" s="10" t="str">
        <f t="shared" si="12"/>
        <v xml:space="preserve"> </v>
      </c>
      <c r="D220" s="10">
        <f t="shared" si="14"/>
        <v>0</v>
      </c>
      <c r="E220" s="10">
        <f t="shared" si="15"/>
        <v>0</v>
      </c>
      <c r="W220" t="str">
        <f>IFERROR(MID(Проливка[[#This Row],[Штрихкод ]],1,FIND("-",Проливка[[#This Row],[Штрихкод ]],1)-1)," ")</f>
        <v xml:space="preserve"> </v>
      </c>
      <c r="X220" t="str">
        <f>IFERROR(RIGHT(Проливка[[#This Row],[Штрихкод ]],LEN(Проливка[[#This Row],[Штрихкод ]])-SEARCH("-",Проливка[[#This Row],[Штрихкод ]],1))," ")</f>
        <v xml:space="preserve"> </v>
      </c>
      <c r="Y220">
        <f>IFERROR(VLOOKUP(Проливка[[#This Row],[ID]]*1,'Срок хранения'!A220:B318,2,0),0)</f>
        <v>0</v>
      </c>
      <c r="Z220">
        <f>IFERROR(VLOOKUP(Проливка[[#This Row],[ID]]*1,'Срок хранения'!A220:C318,3,0),0)</f>
        <v>0</v>
      </c>
    </row>
    <row r="221" spans="1:26" x14ac:dyDescent="0.25">
      <c r="A221" s="9"/>
      <c r="B221" s="12" t="str">
        <f t="shared" si="13"/>
        <v xml:space="preserve"> </v>
      </c>
      <c r="C221" s="10" t="str">
        <f t="shared" si="12"/>
        <v xml:space="preserve"> </v>
      </c>
      <c r="D221" s="10">
        <f t="shared" si="14"/>
        <v>0</v>
      </c>
      <c r="E221" s="10">
        <f t="shared" si="15"/>
        <v>0</v>
      </c>
      <c r="W221" t="str">
        <f>IFERROR(MID(Проливка[[#This Row],[Штрихкод ]],1,FIND("-",Проливка[[#This Row],[Штрихкод ]],1)-1)," ")</f>
        <v xml:space="preserve"> </v>
      </c>
      <c r="X221" t="str">
        <f>IFERROR(RIGHT(Проливка[[#This Row],[Штрихкод ]],LEN(Проливка[[#This Row],[Штрихкод ]])-SEARCH("-",Проливка[[#This Row],[Штрихкод ]],1))," ")</f>
        <v xml:space="preserve"> </v>
      </c>
      <c r="Y221">
        <f>IFERROR(VLOOKUP(Проливка[[#This Row],[ID]]*1,'Срок хранения'!A221:B319,2,0),0)</f>
        <v>0</v>
      </c>
      <c r="Z221">
        <f>IFERROR(VLOOKUP(Проливка[[#This Row],[ID]]*1,'Срок хранения'!A221:C319,3,0),0)</f>
        <v>0</v>
      </c>
    </row>
    <row r="222" spans="1:26" x14ac:dyDescent="0.25">
      <c r="A222" s="9"/>
      <c r="B222" s="12" t="str">
        <f t="shared" si="13"/>
        <v xml:space="preserve"> </v>
      </c>
      <c r="C222" s="10" t="str">
        <f t="shared" si="12"/>
        <v xml:space="preserve"> </v>
      </c>
      <c r="D222" s="10">
        <f t="shared" si="14"/>
        <v>0</v>
      </c>
      <c r="E222" s="10">
        <f t="shared" si="15"/>
        <v>0</v>
      </c>
      <c r="W222" t="str">
        <f>IFERROR(MID(Проливка[[#This Row],[Штрихкод ]],1,FIND("-",Проливка[[#This Row],[Штрихкод ]],1)-1)," ")</f>
        <v xml:space="preserve"> </v>
      </c>
      <c r="X222" t="str">
        <f>IFERROR(RIGHT(Проливка[[#This Row],[Штрихкод ]],LEN(Проливка[[#This Row],[Штрихкод ]])-SEARCH("-",Проливка[[#This Row],[Штрихкод ]],1))," ")</f>
        <v xml:space="preserve"> </v>
      </c>
      <c r="Y222">
        <f>IFERROR(VLOOKUP(Проливка[[#This Row],[ID]]*1,'Срок хранения'!A222:B320,2,0),0)</f>
        <v>0</v>
      </c>
      <c r="Z222">
        <f>IFERROR(VLOOKUP(Проливка[[#This Row],[ID]]*1,'Срок хранения'!A222:C320,3,0),0)</f>
        <v>0</v>
      </c>
    </row>
    <row r="223" spans="1:26" x14ac:dyDescent="0.25">
      <c r="A223" s="9"/>
      <c r="B223" s="12" t="str">
        <f t="shared" si="13"/>
        <v xml:space="preserve"> </v>
      </c>
      <c r="C223" s="10" t="str">
        <f t="shared" si="12"/>
        <v xml:space="preserve"> </v>
      </c>
      <c r="D223" s="10">
        <f t="shared" si="14"/>
        <v>0</v>
      </c>
      <c r="E223" s="10">
        <f t="shared" si="15"/>
        <v>0</v>
      </c>
      <c r="W223" t="str">
        <f>IFERROR(MID(Проливка[[#This Row],[Штрихкод ]],1,FIND("-",Проливка[[#This Row],[Штрихкод ]],1)-1)," ")</f>
        <v xml:space="preserve"> </v>
      </c>
      <c r="X223" t="str">
        <f>IFERROR(RIGHT(Проливка[[#This Row],[Штрихкод ]],LEN(Проливка[[#This Row],[Штрихкод ]])-SEARCH("-",Проливка[[#This Row],[Штрихкод ]],1))," ")</f>
        <v xml:space="preserve"> </v>
      </c>
      <c r="Y223">
        <f>IFERROR(VLOOKUP(Проливка[[#This Row],[ID]]*1,'Срок хранения'!A223:B321,2,0),0)</f>
        <v>0</v>
      </c>
      <c r="Z223">
        <f>IFERROR(VLOOKUP(Проливка[[#This Row],[ID]]*1,'Срок хранения'!A223:C321,3,0),0)</f>
        <v>0</v>
      </c>
    </row>
    <row r="224" spans="1:26" x14ac:dyDescent="0.25">
      <c r="A224" s="9"/>
      <c r="B224" s="12" t="str">
        <f t="shared" si="13"/>
        <v xml:space="preserve"> </v>
      </c>
      <c r="C224" s="10" t="str">
        <f t="shared" si="12"/>
        <v xml:space="preserve"> </v>
      </c>
      <c r="D224" s="10">
        <f t="shared" si="14"/>
        <v>0</v>
      </c>
      <c r="E224" s="10">
        <f t="shared" si="15"/>
        <v>0</v>
      </c>
      <c r="W224" t="str">
        <f>IFERROR(MID(Проливка[[#This Row],[Штрихкод ]],1,FIND("-",Проливка[[#This Row],[Штрихкод ]],1)-1)," ")</f>
        <v xml:space="preserve"> </v>
      </c>
      <c r="X224" t="str">
        <f>IFERROR(RIGHT(Проливка[[#This Row],[Штрихкод ]],LEN(Проливка[[#This Row],[Штрихкод ]])-SEARCH("-",Проливка[[#This Row],[Штрихкод ]],1))," ")</f>
        <v xml:space="preserve"> </v>
      </c>
      <c r="Y224">
        <f>IFERROR(VLOOKUP(Проливка[[#This Row],[ID]]*1,'Срок хранения'!A224:B322,2,0),0)</f>
        <v>0</v>
      </c>
      <c r="Z224">
        <f>IFERROR(VLOOKUP(Проливка[[#This Row],[ID]]*1,'Срок хранения'!A224:C322,3,0),0)</f>
        <v>0</v>
      </c>
    </row>
    <row r="225" spans="1:26" x14ac:dyDescent="0.25">
      <c r="A225" s="9"/>
      <c r="B225" s="12" t="str">
        <f t="shared" si="13"/>
        <v xml:space="preserve"> </v>
      </c>
      <c r="C225" s="10" t="str">
        <f t="shared" si="12"/>
        <v xml:space="preserve"> </v>
      </c>
      <c r="D225" s="10">
        <f t="shared" si="14"/>
        <v>0</v>
      </c>
      <c r="E225" s="10">
        <f t="shared" si="15"/>
        <v>0</v>
      </c>
      <c r="W225" t="str">
        <f>IFERROR(MID(Проливка[[#This Row],[Штрихкод ]],1,FIND("-",Проливка[[#This Row],[Штрихкод ]],1)-1)," ")</f>
        <v xml:space="preserve"> </v>
      </c>
      <c r="X225" t="str">
        <f>IFERROR(RIGHT(Проливка[[#This Row],[Штрихкод ]],LEN(Проливка[[#This Row],[Штрихкод ]])-SEARCH("-",Проливка[[#This Row],[Штрихкод ]],1))," ")</f>
        <v xml:space="preserve"> </v>
      </c>
      <c r="Y225">
        <f>IFERROR(VLOOKUP(Проливка[[#This Row],[ID]]*1,'Срок хранения'!A225:B323,2,0),0)</f>
        <v>0</v>
      </c>
      <c r="Z225">
        <f>IFERROR(VLOOKUP(Проливка[[#This Row],[ID]]*1,'Срок хранения'!A225:C323,3,0),0)</f>
        <v>0</v>
      </c>
    </row>
    <row r="226" spans="1:26" x14ac:dyDescent="0.25">
      <c r="A226" s="9"/>
      <c r="B226" s="12" t="str">
        <f t="shared" si="13"/>
        <v xml:space="preserve"> </v>
      </c>
      <c r="C226" s="10" t="str">
        <f t="shared" si="12"/>
        <v xml:space="preserve"> </v>
      </c>
      <c r="D226" s="10">
        <f t="shared" si="14"/>
        <v>0</v>
      </c>
      <c r="E226" s="10">
        <f t="shared" si="15"/>
        <v>0</v>
      </c>
      <c r="W226" t="str">
        <f>IFERROR(MID(Проливка[[#This Row],[Штрихкод ]],1,FIND("-",Проливка[[#This Row],[Штрихкод ]],1)-1)," ")</f>
        <v xml:space="preserve"> </v>
      </c>
      <c r="X226" t="str">
        <f>IFERROR(RIGHT(Проливка[[#This Row],[Штрихкод ]],LEN(Проливка[[#This Row],[Штрихкод ]])-SEARCH("-",Проливка[[#This Row],[Штрихкод ]],1))," ")</f>
        <v xml:space="preserve"> </v>
      </c>
      <c r="Y226">
        <f>IFERROR(VLOOKUP(Проливка[[#This Row],[ID]]*1,'Срок хранения'!A226:B324,2,0),0)</f>
        <v>0</v>
      </c>
      <c r="Z226">
        <f>IFERROR(VLOOKUP(Проливка[[#This Row],[ID]]*1,'Срок хранения'!A226:C324,3,0),0)</f>
        <v>0</v>
      </c>
    </row>
    <row r="227" spans="1:26" x14ac:dyDescent="0.25">
      <c r="A227" s="9"/>
      <c r="B227" s="12" t="str">
        <f t="shared" si="13"/>
        <v xml:space="preserve"> </v>
      </c>
      <c r="C227" s="10" t="str">
        <f t="shared" si="12"/>
        <v xml:space="preserve"> </v>
      </c>
      <c r="D227" s="10">
        <f t="shared" si="14"/>
        <v>0</v>
      </c>
      <c r="E227" s="10">
        <f t="shared" si="15"/>
        <v>0</v>
      </c>
      <c r="W227" t="str">
        <f>IFERROR(MID(Проливка[[#This Row],[Штрихкод ]],1,FIND("-",Проливка[[#This Row],[Штрихкод ]],1)-1)," ")</f>
        <v xml:space="preserve"> </v>
      </c>
      <c r="X227" t="str">
        <f>IFERROR(RIGHT(Проливка[[#This Row],[Штрихкод ]],LEN(Проливка[[#This Row],[Штрихкод ]])-SEARCH("-",Проливка[[#This Row],[Штрихкод ]],1))," ")</f>
        <v xml:space="preserve"> </v>
      </c>
      <c r="Y227">
        <f>IFERROR(VLOOKUP(Проливка[[#This Row],[ID]]*1,'Срок хранения'!A227:B325,2,0),0)</f>
        <v>0</v>
      </c>
      <c r="Z227">
        <f>IFERROR(VLOOKUP(Проливка[[#This Row],[ID]]*1,'Срок хранения'!A227:C325,3,0),0)</f>
        <v>0</v>
      </c>
    </row>
    <row r="228" spans="1:26" x14ac:dyDescent="0.25">
      <c r="A228" s="9"/>
      <c r="B228" s="12" t="str">
        <f t="shared" si="13"/>
        <v xml:space="preserve"> </v>
      </c>
      <c r="C228" s="10" t="str">
        <f t="shared" si="12"/>
        <v xml:space="preserve"> </v>
      </c>
      <c r="D228" s="10">
        <f t="shared" si="14"/>
        <v>0</v>
      </c>
      <c r="E228" s="10">
        <f t="shared" si="15"/>
        <v>0</v>
      </c>
      <c r="W228" t="str">
        <f>IFERROR(MID(Проливка[[#This Row],[Штрихкод ]],1,FIND("-",Проливка[[#This Row],[Штрихкод ]],1)-1)," ")</f>
        <v xml:space="preserve"> </v>
      </c>
      <c r="X228" t="str">
        <f>IFERROR(RIGHT(Проливка[[#This Row],[Штрихкод ]],LEN(Проливка[[#This Row],[Штрихкод ]])-SEARCH("-",Проливка[[#This Row],[Штрихкод ]],1))," ")</f>
        <v xml:space="preserve"> </v>
      </c>
      <c r="Y228">
        <f>IFERROR(VLOOKUP(Проливка[[#This Row],[ID]]*1,'Срок хранения'!A228:B326,2,0),0)</f>
        <v>0</v>
      </c>
      <c r="Z228">
        <f>IFERROR(VLOOKUP(Проливка[[#This Row],[ID]]*1,'Срок хранения'!A228:C326,3,0),0)</f>
        <v>0</v>
      </c>
    </row>
    <row r="229" spans="1:26" x14ac:dyDescent="0.25">
      <c r="A229" s="9"/>
      <c r="B229" s="12" t="str">
        <f t="shared" si="13"/>
        <v xml:space="preserve"> </v>
      </c>
      <c r="C229" s="10" t="str">
        <f t="shared" si="12"/>
        <v xml:space="preserve"> </v>
      </c>
      <c r="D229" s="10">
        <f t="shared" si="14"/>
        <v>0</v>
      </c>
      <c r="E229" s="10">
        <f t="shared" si="15"/>
        <v>0</v>
      </c>
      <c r="W229" t="str">
        <f>IFERROR(MID(Проливка[[#This Row],[Штрихкод ]],1,FIND("-",Проливка[[#This Row],[Штрихкод ]],1)-1)," ")</f>
        <v xml:space="preserve"> </v>
      </c>
      <c r="X229" t="str">
        <f>IFERROR(RIGHT(Проливка[[#This Row],[Штрихкод ]],LEN(Проливка[[#This Row],[Штрихкод ]])-SEARCH("-",Проливка[[#This Row],[Штрихкод ]],1))," ")</f>
        <v xml:space="preserve"> </v>
      </c>
      <c r="Y229">
        <f>IFERROR(VLOOKUP(Проливка[[#This Row],[ID]]*1,'Срок хранения'!A229:B327,2,0),0)</f>
        <v>0</v>
      </c>
      <c r="Z229">
        <f>IFERROR(VLOOKUP(Проливка[[#This Row],[ID]]*1,'Срок хранения'!A229:C327,3,0),0)</f>
        <v>0</v>
      </c>
    </row>
    <row r="230" spans="1:26" x14ac:dyDescent="0.25">
      <c r="A230" s="9"/>
      <c r="B230" s="12" t="str">
        <f t="shared" si="13"/>
        <v xml:space="preserve"> </v>
      </c>
      <c r="C230" s="10" t="str">
        <f t="shared" si="12"/>
        <v xml:space="preserve"> </v>
      </c>
      <c r="D230" s="10">
        <f t="shared" si="14"/>
        <v>0</v>
      </c>
      <c r="E230" s="10">
        <f t="shared" si="15"/>
        <v>0</v>
      </c>
      <c r="W230" t="str">
        <f>IFERROR(MID(Проливка[[#This Row],[Штрихкод ]],1,FIND("-",Проливка[[#This Row],[Штрихкод ]],1)-1)," ")</f>
        <v xml:space="preserve"> </v>
      </c>
      <c r="X230" t="str">
        <f>IFERROR(RIGHT(Проливка[[#This Row],[Штрихкод ]],LEN(Проливка[[#This Row],[Штрихкод ]])-SEARCH("-",Проливка[[#This Row],[Штрихкод ]],1))," ")</f>
        <v xml:space="preserve"> </v>
      </c>
      <c r="Y230">
        <f>IFERROR(VLOOKUP(Проливка[[#This Row],[ID]]*1,'Срок хранения'!A230:B328,2,0),0)</f>
        <v>0</v>
      </c>
      <c r="Z230">
        <f>IFERROR(VLOOKUP(Проливка[[#This Row],[ID]]*1,'Срок хранения'!A230:C328,3,0),0)</f>
        <v>0</v>
      </c>
    </row>
    <row r="231" spans="1:26" x14ac:dyDescent="0.25">
      <c r="A231" s="9"/>
      <c r="B231" s="12" t="str">
        <f t="shared" si="13"/>
        <v xml:space="preserve"> </v>
      </c>
      <c r="C231" s="10" t="str">
        <f t="shared" si="12"/>
        <v xml:space="preserve"> </v>
      </c>
      <c r="D231" s="10">
        <f t="shared" si="14"/>
        <v>0</v>
      </c>
      <c r="E231" s="10">
        <f t="shared" si="15"/>
        <v>0</v>
      </c>
      <c r="W231" t="str">
        <f>IFERROR(MID(Проливка[[#This Row],[Штрихкод ]],1,FIND("-",Проливка[[#This Row],[Штрихкод ]],1)-1)," ")</f>
        <v xml:space="preserve"> </v>
      </c>
      <c r="X231" t="str">
        <f>IFERROR(RIGHT(Проливка[[#This Row],[Штрихкод ]],LEN(Проливка[[#This Row],[Штрихкод ]])-SEARCH("-",Проливка[[#This Row],[Штрихкод ]],1))," ")</f>
        <v xml:space="preserve"> </v>
      </c>
      <c r="Y231">
        <f>IFERROR(VLOOKUP(Проливка[[#This Row],[ID]]*1,'Срок хранения'!A231:B329,2,0),0)</f>
        <v>0</v>
      </c>
      <c r="Z231">
        <f>IFERROR(VLOOKUP(Проливка[[#This Row],[ID]]*1,'Срок хранения'!A231:C329,3,0),0)</f>
        <v>0</v>
      </c>
    </row>
    <row r="232" spans="1:26" x14ac:dyDescent="0.25">
      <c r="A232" s="9"/>
      <c r="B232" s="12" t="str">
        <f t="shared" si="13"/>
        <v xml:space="preserve"> </v>
      </c>
      <c r="C232" s="10" t="str">
        <f t="shared" si="12"/>
        <v xml:space="preserve"> </v>
      </c>
      <c r="D232" s="10">
        <f t="shared" si="14"/>
        <v>0</v>
      </c>
      <c r="E232" s="10">
        <f t="shared" si="15"/>
        <v>0</v>
      </c>
      <c r="W232" t="str">
        <f>IFERROR(MID(Проливка[[#This Row],[Штрихкод ]],1,FIND("-",Проливка[[#This Row],[Штрихкод ]],1)-1)," ")</f>
        <v xml:space="preserve"> </v>
      </c>
      <c r="X232" t="str">
        <f>IFERROR(RIGHT(Проливка[[#This Row],[Штрихкод ]],LEN(Проливка[[#This Row],[Штрихкод ]])-SEARCH("-",Проливка[[#This Row],[Штрихкод ]],1))," ")</f>
        <v xml:space="preserve"> </v>
      </c>
      <c r="Y232">
        <f>IFERROR(VLOOKUP(Проливка[[#This Row],[ID]]*1,'Срок хранения'!A232:B330,2,0),0)</f>
        <v>0</v>
      </c>
      <c r="Z232">
        <f>IFERROR(VLOOKUP(Проливка[[#This Row],[ID]]*1,'Срок хранения'!A232:C330,3,0),0)</f>
        <v>0</v>
      </c>
    </row>
    <row r="233" spans="1:26" x14ac:dyDescent="0.25">
      <c r="A233" s="9"/>
      <c r="B233" s="12" t="str">
        <f t="shared" si="13"/>
        <v xml:space="preserve"> </v>
      </c>
      <c r="C233" s="10" t="str">
        <f t="shared" si="12"/>
        <v xml:space="preserve"> </v>
      </c>
      <c r="D233" s="10">
        <f t="shared" si="14"/>
        <v>0</v>
      </c>
      <c r="E233" s="10">
        <f t="shared" si="15"/>
        <v>0</v>
      </c>
      <c r="W233" t="str">
        <f>IFERROR(MID(Проливка[[#This Row],[Штрихкод ]],1,FIND("-",Проливка[[#This Row],[Штрихкод ]],1)-1)," ")</f>
        <v xml:space="preserve"> </v>
      </c>
      <c r="X233" t="str">
        <f>IFERROR(RIGHT(Проливка[[#This Row],[Штрихкод ]],LEN(Проливка[[#This Row],[Штрихкод ]])-SEARCH("-",Проливка[[#This Row],[Штрихкод ]],1))," ")</f>
        <v xml:space="preserve"> </v>
      </c>
      <c r="Y233">
        <f>IFERROR(VLOOKUP(Проливка[[#This Row],[ID]]*1,'Срок хранения'!A233:B331,2,0),0)</f>
        <v>0</v>
      </c>
      <c r="Z233">
        <f>IFERROR(VLOOKUP(Проливка[[#This Row],[ID]]*1,'Срок хранения'!A233:C331,3,0),0)</f>
        <v>0</v>
      </c>
    </row>
    <row r="234" spans="1:26" x14ac:dyDescent="0.25">
      <c r="A234" s="9"/>
      <c r="B234" s="12" t="str">
        <f t="shared" si="13"/>
        <v xml:space="preserve"> </v>
      </c>
      <c r="C234" s="10" t="str">
        <f t="shared" si="12"/>
        <v xml:space="preserve"> </v>
      </c>
      <c r="D234" s="10">
        <f t="shared" si="14"/>
        <v>0</v>
      </c>
      <c r="E234" s="10">
        <f t="shared" si="15"/>
        <v>0</v>
      </c>
      <c r="W234" t="str">
        <f>IFERROR(MID(Проливка[[#This Row],[Штрихкод ]],1,FIND("-",Проливка[[#This Row],[Штрихкод ]],1)-1)," ")</f>
        <v xml:space="preserve"> </v>
      </c>
      <c r="X234" t="str">
        <f>IFERROR(RIGHT(Проливка[[#This Row],[Штрихкод ]],LEN(Проливка[[#This Row],[Штрихкод ]])-SEARCH("-",Проливка[[#This Row],[Штрихкод ]],1))," ")</f>
        <v xml:space="preserve"> </v>
      </c>
      <c r="Y234">
        <f>IFERROR(VLOOKUP(Проливка[[#This Row],[ID]]*1,'Срок хранения'!A234:B332,2,0),0)</f>
        <v>0</v>
      </c>
      <c r="Z234">
        <f>IFERROR(VLOOKUP(Проливка[[#This Row],[ID]]*1,'Срок хранения'!A234:C332,3,0),0)</f>
        <v>0</v>
      </c>
    </row>
    <row r="235" spans="1:26" x14ac:dyDescent="0.25">
      <c r="A235" s="9"/>
      <c r="B235" s="12" t="str">
        <f t="shared" si="13"/>
        <v xml:space="preserve"> </v>
      </c>
      <c r="C235" s="10" t="str">
        <f t="shared" si="12"/>
        <v xml:space="preserve"> </v>
      </c>
      <c r="D235" s="10">
        <f t="shared" si="14"/>
        <v>0</v>
      </c>
      <c r="E235" s="10">
        <f t="shared" si="15"/>
        <v>0</v>
      </c>
      <c r="W235" t="str">
        <f>IFERROR(MID(Проливка[[#This Row],[Штрихкод ]],1,FIND("-",Проливка[[#This Row],[Штрихкод ]],1)-1)," ")</f>
        <v xml:space="preserve"> </v>
      </c>
      <c r="X235" t="str">
        <f>IFERROR(RIGHT(Проливка[[#This Row],[Штрихкод ]],LEN(Проливка[[#This Row],[Штрихкод ]])-SEARCH("-",Проливка[[#This Row],[Штрихкод ]],1))," ")</f>
        <v xml:space="preserve"> </v>
      </c>
      <c r="Y235">
        <f>IFERROR(VLOOKUP(Проливка[[#This Row],[ID]]*1,'Срок хранения'!A235:B333,2,0),0)</f>
        <v>0</v>
      </c>
      <c r="Z235">
        <f>IFERROR(VLOOKUP(Проливка[[#This Row],[ID]]*1,'Срок хранения'!A235:C333,3,0),0)</f>
        <v>0</v>
      </c>
    </row>
    <row r="236" spans="1:26" x14ac:dyDescent="0.25">
      <c r="A236" s="9"/>
      <c r="B236" s="12" t="str">
        <f t="shared" si="13"/>
        <v xml:space="preserve"> </v>
      </c>
      <c r="C236" s="10" t="str">
        <f t="shared" si="12"/>
        <v xml:space="preserve"> </v>
      </c>
      <c r="D236" s="10">
        <f t="shared" si="14"/>
        <v>0</v>
      </c>
      <c r="E236" s="10">
        <f t="shared" si="15"/>
        <v>0</v>
      </c>
      <c r="W236" t="str">
        <f>IFERROR(MID(Проливка[[#This Row],[Штрихкод ]],1,FIND("-",Проливка[[#This Row],[Штрихкод ]],1)-1)," ")</f>
        <v xml:space="preserve"> </v>
      </c>
      <c r="X236" t="str">
        <f>IFERROR(RIGHT(Проливка[[#This Row],[Штрихкод ]],LEN(Проливка[[#This Row],[Штрихкод ]])-SEARCH("-",Проливка[[#This Row],[Штрихкод ]],1))," ")</f>
        <v xml:space="preserve"> </v>
      </c>
      <c r="Y236">
        <f>IFERROR(VLOOKUP(Проливка[[#This Row],[ID]]*1,'Срок хранения'!A236:B334,2,0),0)</f>
        <v>0</v>
      </c>
      <c r="Z236">
        <f>IFERROR(VLOOKUP(Проливка[[#This Row],[ID]]*1,'Срок хранения'!A236:C334,3,0),0)</f>
        <v>0</v>
      </c>
    </row>
    <row r="237" spans="1:26" x14ac:dyDescent="0.25">
      <c r="A237" s="9"/>
      <c r="B237" s="12" t="str">
        <f t="shared" si="13"/>
        <v xml:space="preserve"> </v>
      </c>
      <c r="C237" s="10" t="str">
        <f t="shared" si="12"/>
        <v xml:space="preserve"> </v>
      </c>
      <c r="D237" s="10">
        <f t="shared" si="14"/>
        <v>0</v>
      </c>
      <c r="E237" s="10">
        <f t="shared" si="15"/>
        <v>0</v>
      </c>
      <c r="W237" t="str">
        <f>IFERROR(MID(Проливка[[#This Row],[Штрихкод ]],1,FIND("-",Проливка[[#This Row],[Штрихкод ]],1)-1)," ")</f>
        <v xml:space="preserve"> </v>
      </c>
      <c r="X237" t="str">
        <f>IFERROR(RIGHT(Проливка[[#This Row],[Штрихкод ]],LEN(Проливка[[#This Row],[Штрихкод ]])-SEARCH("-",Проливка[[#This Row],[Штрихкод ]],1))," ")</f>
        <v xml:space="preserve"> </v>
      </c>
      <c r="Y237">
        <f>IFERROR(VLOOKUP(Проливка[[#This Row],[ID]]*1,'Срок хранения'!A237:B335,2,0),0)</f>
        <v>0</v>
      </c>
      <c r="Z237">
        <f>IFERROR(VLOOKUP(Проливка[[#This Row],[ID]]*1,'Срок хранения'!A237:C335,3,0),0)</f>
        <v>0</v>
      </c>
    </row>
    <row r="238" spans="1:26" x14ac:dyDescent="0.25">
      <c r="A238" s="9"/>
      <c r="B238" s="12" t="str">
        <f t="shared" si="13"/>
        <v xml:space="preserve"> </v>
      </c>
      <c r="C238" s="10" t="str">
        <f t="shared" si="12"/>
        <v xml:space="preserve"> </v>
      </c>
      <c r="D238" s="10">
        <f t="shared" si="14"/>
        <v>0</v>
      </c>
      <c r="E238" s="10">
        <f t="shared" si="15"/>
        <v>0</v>
      </c>
      <c r="W238" t="str">
        <f>IFERROR(MID(Проливка[[#This Row],[Штрихкод ]],1,FIND("-",Проливка[[#This Row],[Штрихкод ]],1)-1)," ")</f>
        <v xml:space="preserve"> </v>
      </c>
      <c r="X238" t="str">
        <f>IFERROR(RIGHT(Проливка[[#This Row],[Штрихкод ]],LEN(Проливка[[#This Row],[Штрихкод ]])-SEARCH("-",Проливка[[#This Row],[Штрихкод ]],1))," ")</f>
        <v xml:space="preserve"> </v>
      </c>
      <c r="Y238">
        <f>IFERROR(VLOOKUP(Проливка[[#This Row],[ID]]*1,'Срок хранения'!A238:B336,2,0),0)</f>
        <v>0</v>
      </c>
      <c r="Z238">
        <f>IFERROR(VLOOKUP(Проливка[[#This Row],[ID]]*1,'Срок хранения'!A238:C336,3,0),0)</f>
        <v>0</v>
      </c>
    </row>
    <row r="239" spans="1:26" x14ac:dyDescent="0.25">
      <c r="A239" s="9"/>
      <c r="B239" s="12" t="str">
        <f t="shared" si="13"/>
        <v xml:space="preserve"> </v>
      </c>
      <c r="C239" s="10" t="str">
        <f t="shared" si="12"/>
        <v xml:space="preserve"> </v>
      </c>
      <c r="D239" s="10">
        <f t="shared" si="14"/>
        <v>0</v>
      </c>
      <c r="E239" s="10">
        <f t="shared" si="15"/>
        <v>0</v>
      </c>
      <c r="W239" t="str">
        <f>IFERROR(MID(Проливка[[#This Row],[Штрихкод ]],1,FIND("-",Проливка[[#This Row],[Штрихкод ]],1)-1)," ")</f>
        <v xml:space="preserve"> </v>
      </c>
      <c r="X239" t="str">
        <f>IFERROR(RIGHT(Проливка[[#This Row],[Штрихкод ]],LEN(Проливка[[#This Row],[Штрихкод ]])-SEARCH("-",Проливка[[#This Row],[Штрихкод ]],1))," ")</f>
        <v xml:space="preserve"> </v>
      </c>
      <c r="Y239">
        <f>IFERROR(VLOOKUP(Проливка[[#This Row],[ID]]*1,'Срок хранения'!A239:B337,2,0),0)</f>
        <v>0</v>
      </c>
      <c r="Z239">
        <f>IFERROR(VLOOKUP(Проливка[[#This Row],[ID]]*1,'Срок хранения'!A239:C337,3,0),0)</f>
        <v>0</v>
      </c>
    </row>
    <row r="240" spans="1:26" x14ac:dyDescent="0.25">
      <c r="A240" s="9"/>
      <c r="B240" s="12" t="str">
        <f t="shared" si="13"/>
        <v xml:space="preserve"> </v>
      </c>
      <c r="C240" s="10" t="str">
        <f t="shared" si="12"/>
        <v xml:space="preserve"> </v>
      </c>
      <c r="D240" s="10">
        <f t="shared" si="14"/>
        <v>0</v>
      </c>
      <c r="E240" s="10">
        <f t="shared" si="15"/>
        <v>0</v>
      </c>
      <c r="W240" t="str">
        <f>IFERROR(MID(Проливка[[#This Row],[Штрихкод ]],1,FIND("-",Проливка[[#This Row],[Штрихкод ]],1)-1)," ")</f>
        <v xml:space="preserve"> </v>
      </c>
      <c r="X240" t="str">
        <f>IFERROR(RIGHT(Проливка[[#This Row],[Штрихкод ]],LEN(Проливка[[#This Row],[Штрихкод ]])-SEARCH("-",Проливка[[#This Row],[Штрихкод ]],1))," ")</f>
        <v xml:space="preserve"> </v>
      </c>
      <c r="Y240">
        <f>IFERROR(VLOOKUP(Проливка[[#This Row],[ID]]*1,'Срок хранения'!A240:B338,2,0),0)</f>
        <v>0</v>
      </c>
      <c r="Z240">
        <f>IFERROR(VLOOKUP(Проливка[[#This Row],[ID]]*1,'Срок хранения'!A240:C338,3,0),0)</f>
        <v>0</v>
      </c>
    </row>
    <row r="241" spans="1:26" x14ac:dyDescent="0.25">
      <c r="A241" s="9"/>
      <c r="B241" s="12" t="str">
        <f t="shared" si="13"/>
        <v xml:space="preserve"> </v>
      </c>
      <c r="C241" s="10" t="str">
        <f t="shared" si="12"/>
        <v xml:space="preserve"> </v>
      </c>
      <c r="D241" s="10">
        <f t="shared" si="14"/>
        <v>0</v>
      </c>
      <c r="E241" s="10">
        <f t="shared" si="15"/>
        <v>0</v>
      </c>
      <c r="W241" t="str">
        <f>IFERROR(MID(Проливка[[#This Row],[Штрихкод ]],1,FIND("-",Проливка[[#This Row],[Штрихкод ]],1)-1)," ")</f>
        <v xml:space="preserve"> </v>
      </c>
      <c r="X241" t="str">
        <f>IFERROR(RIGHT(Проливка[[#This Row],[Штрихкод ]],LEN(Проливка[[#This Row],[Штрихкод ]])-SEARCH("-",Проливка[[#This Row],[Штрихкод ]],1))," ")</f>
        <v xml:space="preserve"> </v>
      </c>
      <c r="Y241">
        <f>IFERROR(VLOOKUP(Проливка[[#This Row],[ID]]*1,'Срок хранения'!A241:B339,2,0),0)</f>
        <v>0</v>
      </c>
      <c r="Z241">
        <f>IFERROR(VLOOKUP(Проливка[[#This Row],[ID]]*1,'Срок хранения'!A241:C339,3,0),0)</f>
        <v>0</v>
      </c>
    </row>
    <row r="242" spans="1:26" x14ac:dyDescent="0.25">
      <c r="A242" s="9"/>
      <c r="B242" s="12" t="str">
        <f t="shared" si="13"/>
        <v xml:space="preserve"> </v>
      </c>
      <c r="C242" s="10" t="str">
        <f t="shared" si="12"/>
        <v xml:space="preserve"> </v>
      </c>
      <c r="D242" s="10">
        <f t="shared" si="14"/>
        <v>0</v>
      </c>
      <c r="E242" s="10">
        <f t="shared" si="15"/>
        <v>0</v>
      </c>
      <c r="W242" t="str">
        <f>IFERROR(MID(Проливка[[#This Row],[Штрихкод ]],1,FIND("-",Проливка[[#This Row],[Штрихкод ]],1)-1)," ")</f>
        <v xml:space="preserve"> </v>
      </c>
      <c r="X242" t="str">
        <f>IFERROR(RIGHT(Проливка[[#This Row],[Штрихкод ]],LEN(Проливка[[#This Row],[Штрихкод ]])-SEARCH("-",Проливка[[#This Row],[Штрихкод ]],1))," ")</f>
        <v xml:space="preserve"> </v>
      </c>
      <c r="Y242">
        <f>IFERROR(VLOOKUP(Проливка[[#This Row],[ID]]*1,'Срок хранения'!A242:B340,2,0),0)</f>
        <v>0</v>
      </c>
      <c r="Z242">
        <f>IFERROR(VLOOKUP(Проливка[[#This Row],[ID]]*1,'Срок хранения'!A242:C340,3,0),0)</f>
        <v>0</v>
      </c>
    </row>
    <row r="243" spans="1:26" x14ac:dyDescent="0.25">
      <c r="A243" s="9"/>
      <c r="B243" s="12" t="str">
        <f t="shared" si="13"/>
        <v xml:space="preserve"> </v>
      </c>
      <c r="C243" s="10" t="str">
        <f t="shared" si="12"/>
        <v xml:space="preserve"> </v>
      </c>
      <c r="D243" s="10">
        <f t="shared" si="14"/>
        <v>0</v>
      </c>
      <c r="E243" s="10">
        <f t="shared" si="15"/>
        <v>0</v>
      </c>
      <c r="W243" t="str">
        <f>IFERROR(MID(Проливка[[#This Row],[Штрихкод ]],1,FIND("-",Проливка[[#This Row],[Штрихкод ]],1)-1)," ")</f>
        <v xml:space="preserve"> </v>
      </c>
      <c r="X243" t="str">
        <f>IFERROR(RIGHT(Проливка[[#This Row],[Штрихкод ]],LEN(Проливка[[#This Row],[Штрихкод ]])-SEARCH("-",Проливка[[#This Row],[Штрихкод ]],1))," ")</f>
        <v xml:space="preserve"> </v>
      </c>
      <c r="Y243">
        <f>IFERROR(VLOOKUP(Проливка[[#This Row],[ID]]*1,'Срок хранения'!A243:B341,2,0),0)</f>
        <v>0</v>
      </c>
      <c r="Z243">
        <f>IFERROR(VLOOKUP(Проливка[[#This Row],[ID]]*1,'Срок хранения'!A243:C341,3,0),0)</f>
        <v>0</v>
      </c>
    </row>
    <row r="244" spans="1:26" x14ac:dyDescent="0.25">
      <c r="A244" s="9"/>
      <c r="B244" s="12" t="str">
        <f t="shared" si="13"/>
        <v xml:space="preserve"> </v>
      </c>
      <c r="C244" s="10" t="str">
        <f t="shared" si="12"/>
        <v xml:space="preserve"> </v>
      </c>
      <c r="D244" s="10">
        <f t="shared" si="14"/>
        <v>0</v>
      </c>
      <c r="E244" s="10">
        <f t="shared" si="15"/>
        <v>0</v>
      </c>
      <c r="W244" t="str">
        <f>IFERROR(MID(Проливка[[#This Row],[Штрихкод ]],1,FIND("-",Проливка[[#This Row],[Штрихкод ]],1)-1)," ")</f>
        <v xml:space="preserve"> </v>
      </c>
      <c r="X244" t="str">
        <f>IFERROR(RIGHT(Проливка[[#This Row],[Штрихкод ]],LEN(Проливка[[#This Row],[Штрихкод ]])-SEARCH("-",Проливка[[#This Row],[Штрихкод ]],1))," ")</f>
        <v xml:space="preserve"> </v>
      </c>
      <c r="Y244">
        <f>IFERROR(VLOOKUP(Проливка[[#This Row],[ID]]*1,'Срок хранения'!A244:B342,2,0),0)</f>
        <v>0</v>
      </c>
      <c r="Z244">
        <f>IFERROR(VLOOKUP(Проливка[[#This Row],[ID]]*1,'Срок хранения'!A244:C342,3,0),0)</f>
        <v>0</v>
      </c>
    </row>
    <row r="245" spans="1:26" x14ac:dyDescent="0.25">
      <c r="A245" s="9"/>
      <c r="B245" s="12" t="str">
        <f t="shared" si="13"/>
        <v xml:space="preserve"> </v>
      </c>
      <c r="C245" s="10" t="str">
        <f t="shared" si="12"/>
        <v xml:space="preserve"> </v>
      </c>
      <c r="D245" s="10">
        <f t="shared" si="14"/>
        <v>0</v>
      </c>
      <c r="E245" s="10">
        <f t="shared" si="15"/>
        <v>0</v>
      </c>
      <c r="W245" t="str">
        <f>IFERROR(MID(Проливка[[#This Row],[Штрихкод ]],1,FIND("-",Проливка[[#This Row],[Штрихкод ]],1)-1)," ")</f>
        <v xml:space="preserve"> </v>
      </c>
      <c r="X245" t="str">
        <f>IFERROR(RIGHT(Проливка[[#This Row],[Штрихкод ]],LEN(Проливка[[#This Row],[Штрихкод ]])-SEARCH("-",Проливка[[#This Row],[Штрихкод ]],1))," ")</f>
        <v xml:space="preserve"> </v>
      </c>
      <c r="Y245">
        <f>IFERROR(VLOOKUP(Проливка[[#This Row],[ID]]*1,'Срок хранения'!A245:B343,2,0),0)</f>
        <v>0</v>
      </c>
      <c r="Z245">
        <f>IFERROR(VLOOKUP(Проливка[[#This Row],[ID]]*1,'Срок хранения'!A245:C343,3,0),0)</f>
        <v>0</v>
      </c>
    </row>
    <row r="246" spans="1:26" x14ac:dyDescent="0.25">
      <c r="A246" s="9"/>
      <c r="B246" s="12" t="str">
        <f t="shared" si="13"/>
        <v xml:space="preserve"> </v>
      </c>
      <c r="C246" s="10" t="str">
        <f t="shared" si="12"/>
        <v xml:space="preserve"> </v>
      </c>
      <c r="D246" s="10">
        <f t="shared" si="14"/>
        <v>0</v>
      </c>
      <c r="E246" s="10">
        <f t="shared" si="15"/>
        <v>0</v>
      </c>
      <c r="W246" t="str">
        <f>IFERROR(MID(Проливка[[#This Row],[Штрихкод ]],1,FIND("-",Проливка[[#This Row],[Штрихкод ]],1)-1)," ")</f>
        <v xml:space="preserve"> </v>
      </c>
      <c r="X246" t="str">
        <f>IFERROR(RIGHT(Проливка[[#This Row],[Штрихкод ]],LEN(Проливка[[#This Row],[Штрихкод ]])-SEARCH("-",Проливка[[#This Row],[Штрихкод ]],1))," ")</f>
        <v xml:space="preserve"> </v>
      </c>
      <c r="Y246">
        <f>IFERROR(VLOOKUP(Проливка[[#This Row],[ID]]*1,'Срок хранения'!A246:B344,2,0),0)</f>
        <v>0</v>
      </c>
      <c r="Z246">
        <f>IFERROR(VLOOKUP(Проливка[[#This Row],[ID]]*1,'Срок хранения'!A246:C344,3,0),0)</f>
        <v>0</v>
      </c>
    </row>
    <row r="247" spans="1:26" x14ac:dyDescent="0.25">
      <c r="A247" s="9"/>
      <c r="B247" s="12" t="str">
        <f t="shared" si="13"/>
        <v xml:space="preserve"> </v>
      </c>
      <c r="C247" s="10" t="str">
        <f t="shared" si="12"/>
        <v xml:space="preserve"> </v>
      </c>
      <c r="D247" s="10">
        <f t="shared" si="14"/>
        <v>0</v>
      </c>
      <c r="E247" s="10">
        <f t="shared" si="15"/>
        <v>0</v>
      </c>
      <c r="W247" t="str">
        <f>IFERROR(MID(Проливка[[#This Row],[Штрихкод ]],1,FIND("-",Проливка[[#This Row],[Штрихкод ]],1)-1)," ")</f>
        <v xml:space="preserve"> </v>
      </c>
      <c r="X247" t="str">
        <f>IFERROR(RIGHT(Проливка[[#This Row],[Штрихкод ]],LEN(Проливка[[#This Row],[Штрихкод ]])-SEARCH("-",Проливка[[#This Row],[Штрихкод ]],1))," ")</f>
        <v xml:space="preserve"> </v>
      </c>
      <c r="Y247">
        <f>IFERROR(VLOOKUP(Проливка[[#This Row],[ID]]*1,'Срок хранения'!A247:B345,2,0),0)</f>
        <v>0</v>
      </c>
      <c r="Z247">
        <f>IFERROR(VLOOKUP(Проливка[[#This Row],[ID]]*1,'Срок хранения'!A247:C345,3,0),0)</f>
        <v>0</v>
      </c>
    </row>
    <row r="248" spans="1:26" x14ac:dyDescent="0.25">
      <c r="A248" s="9"/>
      <c r="B248" s="12" t="str">
        <f t="shared" si="13"/>
        <v xml:space="preserve"> </v>
      </c>
      <c r="C248" s="10" t="str">
        <f t="shared" si="12"/>
        <v xml:space="preserve"> </v>
      </c>
      <c r="D248" s="10">
        <f t="shared" si="14"/>
        <v>0</v>
      </c>
      <c r="E248" s="10">
        <f t="shared" si="15"/>
        <v>0</v>
      </c>
      <c r="W248" t="str">
        <f>IFERROR(MID(Проливка[[#This Row],[Штрихкод ]],1,FIND("-",Проливка[[#This Row],[Штрихкод ]],1)-1)," ")</f>
        <v xml:space="preserve"> </v>
      </c>
      <c r="X248" t="str">
        <f>IFERROR(RIGHT(Проливка[[#This Row],[Штрихкод ]],LEN(Проливка[[#This Row],[Штрихкод ]])-SEARCH("-",Проливка[[#This Row],[Штрихкод ]],1))," ")</f>
        <v xml:space="preserve"> </v>
      </c>
      <c r="Y248">
        <f>IFERROR(VLOOKUP(Проливка[[#This Row],[ID]]*1,'Срок хранения'!A248:B346,2,0),0)</f>
        <v>0</v>
      </c>
      <c r="Z248">
        <f>IFERROR(VLOOKUP(Проливка[[#This Row],[ID]]*1,'Срок хранения'!A248:C346,3,0),0)</f>
        <v>0</v>
      </c>
    </row>
    <row r="249" spans="1:26" x14ac:dyDescent="0.25">
      <c r="A249" s="9"/>
      <c r="B249" s="12" t="str">
        <f t="shared" si="13"/>
        <v xml:space="preserve"> </v>
      </c>
      <c r="C249" s="10" t="str">
        <f t="shared" si="12"/>
        <v xml:space="preserve"> </v>
      </c>
      <c r="D249" s="10">
        <f t="shared" si="14"/>
        <v>0</v>
      </c>
      <c r="E249" s="10">
        <f t="shared" si="15"/>
        <v>0</v>
      </c>
      <c r="W249" t="str">
        <f>IFERROR(MID(Проливка[[#This Row],[Штрихкод ]],1,FIND("-",Проливка[[#This Row],[Штрихкод ]],1)-1)," ")</f>
        <v xml:space="preserve"> </v>
      </c>
      <c r="X249" t="str">
        <f>IFERROR(RIGHT(Проливка[[#This Row],[Штрихкод ]],LEN(Проливка[[#This Row],[Штрихкод ]])-SEARCH("-",Проливка[[#This Row],[Штрихкод ]],1))," ")</f>
        <v xml:space="preserve"> </v>
      </c>
      <c r="Y249">
        <f>IFERROR(VLOOKUP(Проливка[[#This Row],[ID]]*1,'Срок хранения'!A249:B347,2,0),0)</f>
        <v>0</v>
      </c>
      <c r="Z249">
        <f>IFERROR(VLOOKUP(Проливка[[#This Row],[ID]]*1,'Срок хранения'!A249:C347,3,0),0)</f>
        <v>0</v>
      </c>
    </row>
    <row r="250" spans="1:26" x14ac:dyDescent="0.25">
      <c r="A250" s="9"/>
      <c r="B250" s="12" t="str">
        <f t="shared" si="13"/>
        <v xml:space="preserve"> </v>
      </c>
      <c r="C250" s="10" t="str">
        <f t="shared" si="12"/>
        <v xml:space="preserve"> </v>
      </c>
      <c r="D250" s="10">
        <f t="shared" si="14"/>
        <v>0</v>
      </c>
      <c r="E250" s="10">
        <f t="shared" si="15"/>
        <v>0</v>
      </c>
      <c r="W250" t="str">
        <f>IFERROR(MID(Проливка[[#This Row],[Штрихкод ]],1,FIND("-",Проливка[[#This Row],[Штрихкод ]],1)-1)," ")</f>
        <v xml:space="preserve"> </v>
      </c>
      <c r="X250" t="str">
        <f>IFERROR(RIGHT(Проливка[[#This Row],[Штрихкод ]],LEN(Проливка[[#This Row],[Штрихкод ]])-SEARCH("-",Проливка[[#This Row],[Штрихкод ]],1))," ")</f>
        <v xml:space="preserve"> </v>
      </c>
      <c r="Y250">
        <f>IFERROR(VLOOKUP(Проливка[[#This Row],[ID]]*1,'Срок хранения'!A250:B348,2,0),0)</f>
        <v>0</v>
      </c>
      <c r="Z250">
        <f>IFERROR(VLOOKUP(Проливка[[#This Row],[ID]]*1,'Срок хранения'!A250:C348,3,0),0)</f>
        <v>0</v>
      </c>
    </row>
    <row r="251" spans="1:26" x14ac:dyDescent="0.25">
      <c r="A251" s="9"/>
      <c r="B251" s="12" t="str">
        <f t="shared" si="13"/>
        <v xml:space="preserve"> </v>
      </c>
      <c r="C251" s="10" t="str">
        <f t="shared" si="12"/>
        <v xml:space="preserve"> </v>
      </c>
      <c r="D251" s="10">
        <f t="shared" si="14"/>
        <v>0</v>
      </c>
      <c r="E251" s="10">
        <f t="shared" si="15"/>
        <v>0</v>
      </c>
      <c r="W251" t="str">
        <f>IFERROR(MID(Проливка[[#This Row],[Штрихкод ]],1,FIND("-",Проливка[[#This Row],[Штрихкод ]],1)-1)," ")</f>
        <v xml:space="preserve"> </v>
      </c>
      <c r="X251" t="str">
        <f>IFERROR(RIGHT(Проливка[[#This Row],[Штрихкод ]],LEN(Проливка[[#This Row],[Штрихкод ]])-SEARCH("-",Проливка[[#This Row],[Штрихкод ]],1))," ")</f>
        <v xml:space="preserve"> </v>
      </c>
      <c r="Y251">
        <f>IFERROR(VLOOKUP(Проливка[[#This Row],[ID]]*1,'Срок хранения'!A251:B349,2,0),0)</f>
        <v>0</v>
      </c>
      <c r="Z251">
        <f>IFERROR(VLOOKUP(Проливка[[#This Row],[ID]]*1,'Срок хранения'!A251:C349,3,0),0)</f>
        <v>0</v>
      </c>
    </row>
    <row r="252" spans="1:26" x14ac:dyDescent="0.25">
      <c r="A252" s="9"/>
      <c r="B252" s="12" t="str">
        <f t="shared" si="13"/>
        <v xml:space="preserve"> </v>
      </c>
      <c r="C252" s="10" t="str">
        <f t="shared" si="12"/>
        <v xml:space="preserve"> </v>
      </c>
      <c r="D252" s="10">
        <f t="shared" si="14"/>
        <v>0</v>
      </c>
      <c r="E252" s="10">
        <f t="shared" si="15"/>
        <v>0</v>
      </c>
      <c r="W252" t="str">
        <f>IFERROR(MID(Проливка[[#This Row],[Штрихкод ]],1,FIND("-",Проливка[[#This Row],[Штрихкод ]],1)-1)," ")</f>
        <v xml:space="preserve"> </v>
      </c>
      <c r="X252" t="str">
        <f>IFERROR(RIGHT(Проливка[[#This Row],[Штрихкод ]],LEN(Проливка[[#This Row],[Штрихкод ]])-SEARCH("-",Проливка[[#This Row],[Штрихкод ]],1))," ")</f>
        <v xml:space="preserve"> </v>
      </c>
      <c r="Y252">
        <f>IFERROR(VLOOKUP(Проливка[[#This Row],[ID]]*1,'Срок хранения'!A252:B350,2,0),0)</f>
        <v>0</v>
      </c>
      <c r="Z252">
        <f>IFERROR(VLOOKUP(Проливка[[#This Row],[ID]]*1,'Срок хранения'!A252:C350,3,0),0)</f>
        <v>0</v>
      </c>
    </row>
    <row r="253" spans="1:26" x14ac:dyDescent="0.25">
      <c r="A253" s="9"/>
      <c r="B253" s="12" t="str">
        <f t="shared" si="13"/>
        <v xml:space="preserve"> </v>
      </c>
      <c r="C253" s="10" t="str">
        <f t="shared" si="12"/>
        <v xml:space="preserve"> </v>
      </c>
      <c r="D253" s="10">
        <f t="shared" si="14"/>
        <v>0</v>
      </c>
      <c r="E253" s="10">
        <f t="shared" si="15"/>
        <v>0</v>
      </c>
      <c r="W253" t="str">
        <f>IFERROR(MID(Проливка[[#This Row],[Штрихкод ]],1,FIND("-",Проливка[[#This Row],[Штрихкод ]],1)-1)," ")</f>
        <v xml:space="preserve"> </v>
      </c>
      <c r="X253" t="str">
        <f>IFERROR(RIGHT(Проливка[[#This Row],[Штрихкод ]],LEN(Проливка[[#This Row],[Штрихкод ]])-SEARCH("-",Проливка[[#This Row],[Штрихкод ]],1))," ")</f>
        <v xml:space="preserve"> </v>
      </c>
      <c r="Y253">
        <f>IFERROR(VLOOKUP(Проливка[[#This Row],[ID]]*1,'Срок хранения'!A253:B351,2,0),0)</f>
        <v>0</v>
      </c>
      <c r="Z253">
        <f>IFERROR(VLOOKUP(Проливка[[#This Row],[ID]]*1,'Срок хранения'!A253:C351,3,0),0)</f>
        <v>0</v>
      </c>
    </row>
    <row r="254" spans="1:26" x14ac:dyDescent="0.25">
      <c r="A254" s="9"/>
      <c r="B254" s="12" t="str">
        <f t="shared" si="13"/>
        <v xml:space="preserve"> </v>
      </c>
      <c r="C254" s="10" t="str">
        <f t="shared" si="12"/>
        <v xml:space="preserve"> </v>
      </c>
      <c r="D254" s="10">
        <f t="shared" si="14"/>
        <v>0</v>
      </c>
      <c r="E254" s="10">
        <f t="shared" si="15"/>
        <v>0</v>
      </c>
      <c r="W254" t="str">
        <f>IFERROR(MID(Проливка[[#This Row],[Штрихкод ]],1,FIND("-",Проливка[[#This Row],[Штрихкод ]],1)-1)," ")</f>
        <v xml:space="preserve"> </v>
      </c>
      <c r="X254" t="str">
        <f>IFERROR(RIGHT(Проливка[[#This Row],[Штрихкод ]],LEN(Проливка[[#This Row],[Штрихкод ]])-SEARCH("-",Проливка[[#This Row],[Штрихкод ]],1))," ")</f>
        <v xml:space="preserve"> </v>
      </c>
      <c r="Y254">
        <f>IFERROR(VLOOKUP(Проливка[[#This Row],[ID]]*1,'Срок хранения'!A254:B352,2,0),0)</f>
        <v>0</v>
      </c>
      <c r="Z254">
        <f>IFERROR(VLOOKUP(Проливка[[#This Row],[ID]]*1,'Срок хранения'!A254:C352,3,0),0)</f>
        <v>0</v>
      </c>
    </row>
    <row r="255" spans="1:26" x14ac:dyDescent="0.25">
      <c r="A255" s="9"/>
      <c r="B255" s="12" t="str">
        <f t="shared" si="13"/>
        <v xml:space="preserve"> </v>
      </c>
      <c r="C255" s="10" t="str">
        <f t="shared" si="12"/>
        <v xml:space="preserve"> </v>
      </c>
      <c r="D255" s="10">
        <f t="shared" si="14"/>
        <v>0</v>
      </c>
      <c r="E255" s="10">
        <f t="shared" si="15"/>
        <v>0</v>
      </c>
      <c r="W255" t="str">
        <f>IFERROR(MID(Проливка[[#This Row],[Штрихкод ]],1,FIND("-",Проливка[[#This Row],[Штрихкод ]],1)-1)," ")</f>
        <v xml:space="preserve"> </v>
      </c>
      <c r="X255" t="str">
        <f>IFERROR(RIGHT(Проливка[[#This Row],[Штрихкод ]],LEN(Проливка[[#This Row],[Штрихкод ]])-SEARCH("-",Проливка[[#This Row],[Штрихкод ]],1))," ")</f>
        <v xml:space="preserve"> </v>
      </c>
      <c r="Y255">
        <f>IFERROR(VLOOKUP(Проливка[[#This Row],[ID]]*1,'Срок хранения'!A255:B353,2,0),0)</f>
        <v>0</v>
      </c>
      <c r="Z255">
        <f>IFERROR(VLOOKUP(Проливка[[#This Row],[ID]]*1,'Срок хранения'!A255:C353,3,0),0)</f>
        <v>0</v>
      </c>
    </row>
    <row r="256" spans="1:26" x14ac:dyDescent="0.25">
      <c r="A256" s="9"/>
      <c r="B256" s="12" t="str">
        <f t="shared" si="13"/>
        <v xml:space="preserve"> </v>
      </c>
      <c r="C256" s="10" t="str">
        <f t="shared" si="12"/>
        <v xml:space="preserve"> </v>
      </c>
      <c r="D256" s="10">
        <f t="shared" si="14"/>
        <v>0</v>
      </c>
      <c r="E256" s="10">
        <f t="shared" si="15"/>
        <v>0</v>
      </c>
      <c r="W256" t="str">
        <f>IFERROR(MID(Проливка[[#This Row],[Штрихкод ]],1,FIND("-",Проливка[[#This Row],[Штрихкод ]],1)-1)," ")</f>
        <v xml:space="preserve"> </v>
      </c>
      <c r="X256" t="str">
        <f>IFERROR(RIGHT(Проливка[[#This Row],[Штрихкод ]],LEN(Проливка[[#This Row],[Штрихкод ]])-SEARCH("-",Проливка[[#This Row],[Штрихкод ]],1))," ")</f>
        <v xml:space="preserve"> </v>
      </c>
      <c r="Y256">
        <f>IFERROR(VLOOKUP(Проливка[[#This Row],[ID]]*1,'Срок хранения'!A256:B354,2,0),0)</f>
        <v>0</v>
      </c>
      <c r="Z256">
        <f>IFERROR(VLOOKUP(Проливка[[#This Row],[ID]]*1,'Срок хранения'!A256:C354,3,0),0)</f>
        <v>0</v>
      </c>
    </row>
    <row r="257" spans="1:26" x14ac:dyDescent="0.25">
      <c r="A257" s="9"/>
      <c r="B257" s="12" t="str">
        <f t="shared" si="13"/>
        <v xml:space="preserve"> </v>
      </c>
      <c r="C257" s="10" t="str">
        <f t="shared" si="12"/>
        <v xml:space="preserve"> </v>
      </c>
      <c r="D257" s="10">
        <f t="shared" si="14"/>
        <v>0</v>
      </c>
      <c r="E257" s="10">
        <f t="shared" si="15"/>
        <v>0</v>
      </c>
      <c r="W257" t="str">
        <f>IFERROR(MID(Проливка[[#This Row],[Штрихкод ]],1,FIND("-",Проливка[[#This Row],[Штрихкод ]],1)-1)," ")</f>
        <v xml:space="preserve"> </v>
      </c>
      <c r="X257" t="str">
        <f>IFERROR(RIGHT(Проливка[[#This Row],[Штрихкод ]],LEN(Проливка[[#This Row],[Штрихкод ]])-SEARCH("-",Проливка[[#This Row],[Штрихкод ]],1))," ")</f>
        <v xml:space="preserve"> </v>
      </c>
      <c r="Y257">
        <f>IFERROR(VLOOKUP(Проливка[[#This Row],[ID]]*1,'Срок хранения'!A257:B355,2,0),0)</f>
        <v>0</v>
      </c>
      <c r="Z257">
        <f>IFERROR(VLOOKUP(Проливка[[#This Row],[ID]]*1,'Срок хранения'!A257:C355,3,0),0)</f>
        <v>0</v>
      </c>
    </row>
    <row r="258" spans="1:26" x14ac:dyDescent="0.25">
      <c r="A258" s="9"/>
      <c r="B258" s="12" t="str">
        <f t="shared" si="13"/>
        <v xml:space="preserve"> </v>
      </c>
      <c r="C258" s="10" t="str">
        <f t="shared" ref="C258:C321" si="16">X258</f>
        <v xml:space="preserve"> </v>
      </c>
      <c r="D258" s="10">
        <f t="shared" si="14"/>
        <v>0</v>
      </c>
      <c r="E258" s="10">
        <f t="shared" si="15"/>
        <v>0</v>
      </c>
      <c r="W258" t="str">
        <f>IFERROR(MID(Проливка[[#This Row],[Штрихкод ]],1,FIND("-",Проливка[[#This Row],[Штрихкод ]],1)-1)," ")</f>
        <v xml:space="preserve"> </v>
      </c>
      <c r="X258" t="str">
        <f>IFERROR(RIGHT(Проливка[[#This Row],[Штрихкод ]],LEN(Проливка[[#This Row],[Штрихкод ]])-SEARCH("-",Проливка[[#This Row],[Штрихкод ]],1))," ")</f>
        <v xml:space="preserve"> </v>
      </c>
      <c r="Y258">
        <f>IFERROR(VLOOKUP(Проливка[[#This Row],[ID]]*1,'Срок хранения'!A258:B356,2,0),0)</f>
        <v>0</v>
      </c>
      <c r="Z258">
        <f>IFERROR(VLOOKUP(Проливка[[#This Row],[ID]]*1,'Срок хранения'!A258:C356,3,0),0)</f>
        <v>0</v>
      </c>
    </row>
    <row r="259" spans="1:26" x14ac:dyDescent="0.25">
      <c r="A259" s="9"/>
      <c r="B259" s="12" t="str">
        <f t="shared" ref="B259:B322" si="17">W259</f>
        <v xml:space="preserve"> </v>
      </c>
      <c r="C259" s="10" t="str">
        <f t="shared" si="16"/>
        <v xml:space="preserve"> </v>
      </c>
      <c r="D259" s="10">
        <f t="shared" ref="D259:D322" si="18">Y259</f>
        <v>0</v>
      </c>
      <c r="E259" s="10">
        <f t="shared" ref="E259:E322" si="19">Z259</f>
        <v>0</v>
      </c>
      <c r="W259" t="str">
        <f>IFERROR(MID(Проливка[[#This Row],[Штрихкод ]],1,FIND("-",Проливка[[#This Row],[Штрихкод ]],1)-1)," ")</f>
        <v xml:space="preserve"> </v>
      </c>
      <c r="X259" t="str">
        <f>IFERROR(RIGHT(Проливка[[#This Row],[Штрихкод ]],LEN(Проливка[[#This Row],[Штрихкод ]])-SEARCH("-",Проливка[[#This Row],[Штрихкод ]],1))," ")</f>
        <v xml:space="preserve"> </v>
      </c>
      <c r="Y259">
        <f>IFERROR(VLOOKUP(Проливка[[#This Row],[ID]]*1,'Срок хранения'!A259:B357,2,0),0)</f>
        <v>0</v>
      </c>
      <c r="Z259">
        <f>IFERROR(VLOOKUP(Проливка[[#This Row],[ID]]*1,'Срок хранения'!A259:C357,3,0),0)</f>
        <v>0</v>
      </c>
    </row>
    <row r="260" spans="1:26" x14ac:dyDescent="0.25">
      <c r="A260" s="9"/>
      <c r="B260" s="12" t="str">
        <f t="shared" si="17"/>
        <v xml:space="preserve"> </v>
      </c>
      <c r="C260" s="10" t="str">
        <f t="shared" si="16"/>
        <v xml:space="preserve"> </v>
      </c>
      <c r="D260" s="10">
        <f t="shared" si="18"/>
        <v>0</v>
      </c>
      <c r="E260" s="10">
        <f t="shared" si="19"/>
        <v>0</v>
      </c>
      <c r="W260" t="str">
        <f>IFERROR(MID(Проливка[[#This Row],[Штрихкод ]],1,FIND("-",Проливка[[#This Row],[Штрихкод ]],1)-1)," ")</f>
        <v xml:space="preserve"> </v>
      </c>
      <c r="X260" t="str">
        <f>IFERROR(RIGHT(Проливка[[#This Row],[Штрихкод ]],LEN(Проливка[[#This Row],[Штрихкод ]])-SEARCH("-",Проливка[[#This Row],[Штрихкод ]],1))," ")</f>
        <v xml:space="preserve"> </v>
      </c>
      <c r="Y260">
        <f>IFERROR(VLOOKUP(Проливка[[#This Row],[ID]]*1,'Срок хранения'!A260:B358,2,0),0)</f>
        <v>0</v>
      </c>
      <c r="Z260">
        <f>IFERROR(VLOOKUP(Проливка[[#This Row],[ID]]*1,'Срок хранения'!A260:C358,3,0),0)</f>
        <v>0</v>
      </c>
    </row>
    <row r="261" spans="1:26" x14ac:dyDescent="0.25">
      <c r="A261" s="9"/>
      <c r="B261" s="12" t="str">
        <f t="shared" si="17"/>
        <v xml:space="preserve"> </v>
      </c>
      <c r="C261" s="10" t="str">
        <f t="shared" si="16"/>
        <v xml:space="preserve"> </v>
      </c>
      <c r="D261" s="10">
        <f t="shared" si="18"/>
        <v>0</v>
      </c>
      <c r="E261" s="10">
        <f t="shared" si="19"/>
        <v>0</v>
      </c>
      <c r="W261" t="str">
        <f>IFERROR(MID(Проливка[[#This Row],[Штрихкод ]],1,FIND("-",Проливка[[#This Row],[Штрихкод ]],1)-1)," ")</f>
        <v xml:space="preserve"> </v>
      </c>
      <c r="X261" t="str">
        <f>IFERROR(RIGHT(Проливка[[#This Row],[Штрихкод ]],LEN(Проливка[[#This Row],[Штрихкод ]])-SEARCH("-",Проливка[[#This Row],[Штрихкод ]],1))," ")</f>
        <v xml:space="preserve"> </v>
      </c>
      <c r="Y261">
        <f>IFERROR(VLOOKUP(Проливка[[#This Row],[ID]]*1,'Срок хранения'!A261:B359,2,0),0)</f>
        <v>0</v>
      </c>
      <c r="Z261">
        <f>IFERROR(VLOOKUP(Проливка[[#This Row],[ID]]*1,'Срок хранения'!A261:C359,3,0),0)</f>
        <v>0</v>
      </c>
    </row>
    <row r="262" spans="1:26" x14ac:dyDescent="0.25">
      <c r="A262" s="9"/>
      <c r="B262" s="12" t="str">
        <f t="shared" si="17"/>
        <v xml:space="preserve"> </v>
      </c>
      <c r="C262" s="10" t="str">
        <f t="shared" si="16"/>
        <v xml:space="preserve"> </v>
      </c>
      <c r="D262" s="10">
        <f t="shared" si="18"/>
        <v>0</v>
      </c>
      <c r="E262" s="10">
        <f t="shared" si="19"/>
        <v>0</v>
      </c>
      <c r="W262" t="str">
        <f>IFERROR(MID(Проливка[[#This Row],[Штрихкод ]],1,FIND("-",Проливка[[#This Row],[Штрихкод ]],1)-1)," ")</f>
        <v xml:space="preserve"> </v>
      </c>
      <c r="X262" t="str">
        <f>IFERROR(RIGHT(Проливка[[#This Row],[Штрихкод ]],LEN(Проливка[[#This Row],[Штрихкод ]])-SEARCH("-",Проливка[[#This Row],[Штрихкод ]],1))," ")</f>
        <v xml:space="preserve"> </v>
      </c>
      <c r="Y262">
        <f>IFERROR(VLOOKUP(Проливка[[#This Row],[ID]]*1,'Срок хранения'!A262:B360,2,0),0)</f>
        <v>0</v>
      </c>
      <c r="Z262">
        <f>IFERROR(VLOOKUP(Проливка[[#This Row],[ID]]*1,'Срок хранения'!A262:C360,3,0),0)</f>
        <v>0</v>
      </c>
    </row>
    <row r="263" spans="1:26" x14ac:dyDescent="0.25">
      <c r="A263" s="9"/>
      <c r="B263" s="12" t="str">
        <f t="shared" si="17"/>
        <v xml:space="preserve"> </v>
      </c>
      <c r="C263" s="10" t="str">
        <f t="shared" si="16"/>
        <v xml:space="preserve"> </v>
      </c>
      <c r="D263" s="10">
        <f t="shared" si="18"/>
        <v>0</v>
      </c>
      <c r="E263" s="10">
        <f t="shared" si="19"/>
        <v>0</v>
      </c>
      <c r="W263" t="str">
        <f>IFERROR(MID(Проливка[[#This Row],[Штрихкод ]],1,FIND("-",Проливка[[#This Row],[Штрихкод ]],1)-1)," ")</f>
        <v xml:space="preserve"> </v>
      </c>
      <c r="X263" t="str">
        <f>IFERROR(RIGHT(Проливка[[#This Row],[Штрихкод ]],LEN(Проливка[[#This Row],[Штрихкод ]])-SEARCH("-",Проливка[[#This Row],[Штрихкод ]],1))," ")</f>
        <v xml:space="preserve"> </v>
      </c>
      <c r="Y263">
        <f>IFERROR(VLOOKUP(Проливка[[#This Row],[ID]]*1,'Срок хранения'!A263:B361,2,0),0)</f>
        <v>0</v>
      </c>
      <c r="Z263">
        <f>IFERROR(VLOOKUP(Проливка[[#This Row],[ID]]*1,'Срок хранения'!A263:C361,3,0),0)</f>
        <v>0</v>
      </c>
    </row>
    <row r="264" spans="1:26" x14ac:dyDescent="0.25">
      <c r="A264" s="9"/>
      <c r="B264" s="12" t="str">
        <f t="shared" si="17"/>
        <v xml:space="preserve"> </v>
      </c>
      <c r="C264" s="10" t="str">
        <f t="shared" si="16"/>
        <v xml:space="preserve"> </v>
      </c>
      <c r="D264" s="10">
        <f t="shared" si="18"/>
        <v>0</v>
      </c>
      <c r="E264" s="10">
        <f t="shared" si="19"/>
        <v>0</v>
      </c>
      <c r="W264" t="str">
        <f>IFERROR(MID(Проливка[[#This Row],[Штрихкод ]],1,FIND("-",Проливка[[#This Row],[Штрихкод ]],1)-1)," ")</f>
        <v xml:space="preserve"> </v>
      </c>
      <c r="X264" t="str">
        <f>IFERROR(RIGHT(Проливка[[#This Row],[Штрихкод ]],LEN(Проливка[[#This Row],[Штрихкод ]])-SEARCH("-",Проливка[[#This Row],[Штрихкод ]],1))," ")</f>
        <v xml:space="preserve"> </v>
      </c>
      <c r="Y264">
        <f>IFERROR(VLOOKUP(Проливка[[#This Row],[ID]]*1,'Срок хранения'!A264:B362,2,0),0)</f>
        <v>0</v>
      </c>
      <c r="Z264">
        <f>IFERROR(VLOOKUP(Проливка[[#This Row],[ID]]*1,'Срок хранения'!A264:C362,3,0),0)</f>
        <v>0</v>
      </c>
    </row>
    <row r="265" spans="1:26" x14ac:dyDescent="0.25">
      <c r="A265" s="9"/>
      <c r="B265" s="12" t="str">
        <f t="shared" si="17"/>
        <v xml:space="preserve"> </v>
      </c>
      <c r="C265" s="10" t="str">
        <f t="shared" si="16"/>
        <v xml:space="preserve"> </v>
      </c>
      <c r="D265" s="10">
        <f t="shared" si="18"/>
        <v>0</v>
      </c>
      <c r="E265" s="10">
        <f t="shared" si="19"/>
        <v>0</v>
      </c>
      <c r="W265" t="str">
        <f>IFERROR(MID(Проливка[[#This Row],[Штрихкод ]],1,FIND("-",Проливка[[#This Row],[Штрихкод ]],1)-1)," ")</f>
        <v xml:space="preserve"> </v>
      </c>
      <c r="X265" t="str">
        <f>IFERROR(RIGHT(Проливка[[#This Row],[Штрихкод ]],LEN(Проливка[[#This Row],[Штрихкод ]])-SEARCH("-",Проливка[[#This Row],[Штрихкод ]],1))," ")</f>
        <v xml:space="preserve"> </v>
      </c>
      <c r="Y265">
        <f>IFERROR(VLOOKUP(Проливка[[#This Row],[ID]]*1,'Срок хранения'!A265:B363,2,0),0)</f>
        <v>0</v>
      </c>
      <c r="Z265">
        <f>IFERROR(VLOOKUP(Проливка[[#This Row],[ID]]*1,'Срок хранения'!A265:C363,3,0),0)</f>
        <v>0</v>
      </c>
    </row>
    <row r="266" spans="1:26" x14ac:dyDescent="0.25">
      <c r="A266" s="9"/>
      <c r="B266" s="12" t="str">
        <f t="shared" si="17"/>
        <v xml:space="preserve"> </v>
      </c>
      <c r="C266" s="10" t="str">
        <f t="shared" si="16"/>
        <v xml:space="preserve"> </v>
      </c>
      <c r="D266" s="10">
        <f t="shared" si="18"/>
        <v>0</v>
      </c>
      <c r="E266" s="10">
        <f t="shared" si="19"/>
        <v>0</v>
      </c>
      <c r="W266" t="str">
        <f>IFERROR(MID(Проливка[[#This Row],[Штрихкод ]],1,FIND("-",Проливка[[#This Row],[Штрихкод ]],1)-1)," ")</f>
        <v xml:space="preserve"> </v>
      </c>
      <c r="X266" t="str">
        <f>IFERROR(RIGHT(Проливка[[#This Row],[Штрихкод ]],LEN(Проливка[[#This Row],[Штрихкод ]])-SEARCH("-",Проливка[[#This Row],[Штрихкод ]],1))," ")</f>
        <v xml:space="preserve"> </v>
      </c>
      <c r="Y266">
        <f>IFERROR(VLOOKUP(Проливка[[#This Row],[ID]]*1,'Срок хранения'!A266:B364,2,0),0)</f>
        <v>0</v>
      </c>
      <c r="Z266">
        <f>IFERROR(VLOOKUP(Проливка[[#This Row],[ID]]*1,'Срок хранения'!A266:C364,3,0),0)</f>
        <v>0</v>
      </c>
    </row>
    <row r="267" spans="1:26" x14ac:dyDescent="0.25">
      <c r="A267" s="9"/>
      <c r="B267" s="12" t="str">
        <f t="shared" si="17"/>
        <v xml:space="preserve"> </v>
      </c>
      <c r="C267" s="10" t="str">
        <f t="shared" si="16"/>
        <v xml:space="preserve"> </v>
      </c>
      <c r="D267" s="10">
        <f t="shared" si="18"/>
        <v>0</v>
      </c>
      <c r="E267" s="10">
        <f t="shared" si="19"/>
        <v>0</v>
      </c>
      <c r="W267" t="str">
        <f>IFERROR(MID(Проливка[[#This Row],[Штрихкод ]],1,FIND("-",Проливка[[#This Row],[Штрихкод ]],1)-1)," ")</f>
        <v xml:space="preserve"> </v>
      </c>
      <c r="X267" t="str">
        <f>IFERROR(RIGHT(Проливка[[#This Row],[Штрихкод ]],LEN(Проливка[[#This Row],[Штрихкод ]])-SEARCH("-",Проливка[[#This Row],[Штрихкод ]],1))," ")</f>
        <v xml:space="preserve"> </v>
      </c>
      <c r="Y267">
        <f>IFERROR(VLOOKUP(Проливка[[#This Row],[ID]]*1,'Срок хранения'!A267:B365,2,0),0)</f>
        <v>0</v>
      </c>
      <c r="Z267">
        <f>IFERROR(VLOOKUP(Проливка[[#This Row],[ID]]*1,'Срок хранения'!A267:C365,3,0),0)</f>
        <v>0</v>
      </c>
    </row>
    <row r="268" spans="1:26" x14ac:dyDescent="0.25">
      <c r="A268" s="9"/>
      <c r="B268" s="12" t="str">
        <f t="shared" si="17"/>
        <v xml:space="preserve"> </v>
      </c>
      <c r="C268" s="10" t="str">
        <f t="shared" si="16"/>
        <v xml:space="preserve"> </v>
      </c>
      <c r="D268" s="10">
        <f t="shared" si="18"/>
        <v>0</v>
      </c>
      <c r="E268" s="10">
        <f t="shared" si="19"/>
        <v>0</v>
      </c>
      <c r="W268" t="str">
        <f>IFERROR(MID(Проливка[[#This Row],[Штрихкод ]],1,FIND("-",Проливка[[#This Row],[Штрихкод ]],1)-1)," ")</f>
        <v xml:space="preserve"> </v>
      </c>
      <c r="X268" t="str">
        <f>IFERROR(RIGHT(Проливка[[#This Row],[Штрихкод ]],LEN(Проливка[[#This Row],[Штрихкод ]])-SEARCH("-",Проливка[[#This Row],[Штрихкод ]],1))," ")</f>
        <v xml:space="preserve"> </v>
      </c>
      <c r="Y268">
        <f>IFERROR(VLOOKUP(Проливка[[#This Row],[ID]]*1,'Срок хранения'!A268:B366,2,0),0)</f>
        <v>0</v>
      </c>
      <c r="Z268">
        <f>IFERROR(VLOOKUP(Проливка[[#This Row],[ID]]*1,'Срок хранения'!A268:C366,3,0),0)</f>
        <v>0</v>
      </c>
    </row>
    <row r="269" spans="1:26" x14ac:dyDescent="0.25">
      <c r="A269" s="9"/>
      <c r="B269" s="12" t="str">
        <f t="shared" si="17"/>
        <v xml:space="preserve"> </v>
      </c>
      <c r="C269" s="10" t="str">
        <f t="shared" si="16"/>
        <v xml:space="preserve"> </v>
      </c>
      <c r="D269" s="10">
        <f t="shared" si="18"/>
        <v>0</v>
      </c>
      <c r="E269" s="10">
        <f t="shared" si="19"/>
        <v>0</v>
      </c>
      <c r="W269" t="str">
        <f>IFERROR(MID(Проливка[[#This Row],[Штрихкод ]],1,FIND("-",Проливка[[#This Row],[Штрихкод ]],1)-1)," ")</f>
        <v xml:space="preserve"> </v>
      </c>
      <c r="X269" t="str">
        <f>IFERROR(RIGHT(Проливка[[#This Row],[Штрихкод ]],LEN(Проливка[[#This Row],[Штрихкод ]])-SEARCH("-",Проливка[[#This Row],[Штрихкод ]],1))," ")</f>
        <v xml:space="preserve"> </v>
      </c>
      <c r="Y269">
        <f>IFERROR(VLOOKUP(Проливка[[#This Row],[ID]]*1,'Срок хранения'!A269:B367,2,0),0)</f>
        <v>0</v>
      </c>
      <c r="Z269">
        <f>IFERROR(VLOOKUP(Проливка[[#This Row],[ID]]*1,'Срок хранения'!A269:C367,3,0),0)</f>
        <v>0</v>
      </c>
    </row>
    <row r="270" spans="1:26" x14ac:dyDescent="0.25">
      <c r="A270" s="9"/>
      <c r="B270" s="12" t="str">
        <f t="shared" si="17"/>
        <v xml:space="preserve"> </v>
      </c>
      <c r="C270" s="10" t="str">
        <f t="shared" si="16"/>
        <v xml:space="preserve"> </v>
      </c>
      <c r="D270" s="10">
        <f t="shared" si="18"/>
        <v>0</v>
      </c>
      <c r="E270" s="10">
        <f t="shared" si="19"/>
        <v>0</v>
      </c>
      <c r="W270" t="str">
        <f>IFERROR(MID(Проливка[[#This Row],[Штрихкод ]],1,FIND("-",Проливка[[#This Row],[Штрихкод ]],1)-1)," ")</f>
        <v xml:space="preserve"> </v>
      </c>
      <c r="X270" t="str">
        <f>IFERROR(RIGHT(Проливка[[#This Row],[Штрихкод ]],LEN(Проливка[[#This Row],[Штрихкод ]])-SEARCH("-",Проливка[[#This Row],[Штрихкод ]],1))," ")</f>
        <v xml:space="preserve"> </v>
      </c>
      <c r="Y270">
        <f>IFERROR(VLOOKUP(Проливка[[#This Row],[ID]]*1,'Срок хранения'!A270:B368,2,0),0)</f>
        <v>0</v>
      </c>
      <c r="Z270">
        <f>IFERROR(VLOOKUP(Проливка[[#This Row],[ID]]*1,'Срок хранения'!A270:C368,3,0),0)</f>
        <v>0</v>
      </c>
    </row>
    <row r="271" spans="1:26" x14ac:dyDescent="0.25">
      <c r="A271" s="9"/>
      <c r="B271" s="12" t="str">
        <f t="shared" si="17"/>
        <v xml:space="preserve"> </v>
      </c>
      <c r="C271" s="10" t="str">
        <f t="shared" si="16"/>
        <v xml:space="preserve"> </v>
      </c>
      <c r="D271" s="10">
        <f t="shared" si="18"/>
        <v>0</v>
      </c>
      <c r="E271" s="10">
        <f t="shared" si="19"/>
        <v>0</v>
      </c>
      <c r="W271" t="str">
        <f>IFERROR(MID(Проливка[[#This Row],[Штрихкод ]],1,FIND("-",Проливка[[#This Row],[Штрихкод ]],1)-1)," ")</f>
        <v xml:space="preserve"> </v>
      </c>
      <c r="X271" t="str">
        <f>IFERROR(RIGHT(Проливка[[#This Row],[Штрихкод ]],LEN(Проливка[[#This Row],[Штрихкод ]])-SEARCH("-",Проливка[[#This Row],[Штрихкод ]],1))," ")</f>
        <v xml:space="preserve"> </v>
      </c>
      <c r="Y271">
        <f>IFERROR(VLOOKUP(Проливка[[#This Row],[ID]]*1,'Срок хранения'!A271:B369,2,0),0)</f>
        <v>0</v>
      </c>
      <c r="Z271">
        <f>IFERROR(VLOOKUP(Проливка[[#This Row],[ID]]*1,'Срок хранения'!A271:C369,3,0),0)</f>
        <v>0</v>
      </c>
    </row>
    <row r="272" spans="1:26" x14ac:dyDescent="0.25">
      <c r="A272" s="9"/>
      <c r="B272" s="12" t="str">
        <f t="shared" si="17"/>
        <v xml:space="preserve"> </v>
      </c>
      <c r="C272" s="10" t="str">
        <f t="shared" si="16"/>
        <v xml:space="preserve"> </v>
      </c>
      <c r="D272" s="10">
        <f t="shared" si="18"/>
        <v>0</v>
      </c>
      <c r="E272" s="10">
        <f t="shared" si="19"/>
        <v>0</v>
      </c>
      <c r="W272" t="str">
        <f>IFERROR(MID(Проливка[[#This Row],[Штрихкод ]],1,FIND("-",Проливка[[#This Row],[Штрихкод ]],1)-1)," ")</f>
        <v xml:space="preserve"> </v>
      </c>
      <c r="X272" t="str">
        <f>IFERROR(RIGHT(Проливка[[#This Row],[Штрихкод ]],LEN(Проливка[[#This Row],[Штрихкод ]])-SEARCH("-",Проливка[[#This Row],[Штрихкод ]],1))," ")</f>
        <v xml:space="preserve"> </v>
      </c>
      <c r="Y272">
        <f>IFERROR(VLOOKUP(Проливка[[#This Row],[ID]]*1,'Срок хранения'!A272:B370,2,0),0)</f>
        <v>0</v>
      </c>
      <c r="Z272">
        <f>IFERROR(VLOOKUP(Проливка[[#This Row],[ID]]*1,'Срок хранения'!A272:C370,3,0),0)</f>
        <v>0</v>
      </c>
    </row>
    <row r="273" spans="1:26" x14ac:dyDescent="0.25">
      <c r="A273" s="9"/>
      <c r="B273" s="12" t="str">
        <f t="shared" si="17"/>
        <v xml:space="preserve"> </v>
      </c>
      <c r="C273" s="10" t="str">
        <f t="shared" si="16"/>
        <v xml:space="preserve"> </v>
      </c>
      <c r="D273" s="10">
        <f t="shared" si="18"/>
        <v>0</v>
      </c>
      <c r="E273" s="10">
        <f t="shared" si="19"/>
        <v>0</v>
      </c>
      <c r="W273" t="str">
        <f>IFERROR(MID(Проливка[[#This Row],[Штрихкод ]],1,FIND("-",Проливка[[#This Row],[Штрихкод ]],1)-1)," ")</f>
        <v xml:space="preserve"> </v>
      </c>
      <c r="X273" t="str">
        <f>IFERROR(RIGHT(Проливка[[#This Row],[Штрихкод ]],LEN(Проливка[[#This Row],[Штрихкод ]])-SEARCH("-",Проливка[[#This Row],[Штрихкод ]],1))," ")</f>
        <v xml:space="preserve"> </v>
      </c>
      <c r="Y273">
        <f>IFERROR(VLOOKUP(Проливка[[#This Row],[ID]]*1,'Срок хранения'!A273:B371,2,0),0)</f>
        <v>0</v>
      </c>
      <c r="Z273">
        <f>IFERROR(VLOOKUP(Проливка[[#This Row],[ID]]*1,'Срок хранения'!A273:C371,3,0),0)</f>
        <v>0</v>
      </c>
    </row>
    <row r="274" spans="1:26" x14ac:dyDescent="0.25">
      <c r="A274" s="9"/>
      <c r="B274" s="12" t="str">
        <f t="shared" si="17"/>
        <v xml:space="preserve"> </v>
      </c>
      <c r="C274" s="10" t="str">
        <f t="shared" si="16"/>
        <v xml:space="preserve"> </v>
      </c>
      <c r="D274" s="10">
        <f t="shared" si="18"/>
        <v>0</v>
      </c>
      <c r="E274" s="10">
        <f t="shared" si="19"/>
        <v>0</v>
      </c>
      <c r="W274" t="str">
        <f>IFERROR(MID(Проливка[[#This Row],[Штрихкод ]],1,FIND("-",Проливка[[#This Row],[Штрихкод ]],1)-1)," ")</f>
        <v xml:space="preserve"> </v>
      </c>
      <c r="X274" t="str">
        <f>IFERROR(RIGHT(Проливка[[#This Row],[Штрихкод ]],LEN(Проливка[[#This Row],[Штрихкод ]])-SEARCH("-",Проливка[[#This Row],[Штрихкод ]],1))," ")</f>
        <v xml:space="preserve"> </v>
      </c>
      <c r="Y274">
        <f>IFERROR(VLOOKUP(Проливка[[#This Row],[ID]]*1,'Срок хранения'!A274:B372,2,0),0)</f>
        <v>0</v>
      </c>
      <c r="Z274">
        <f>IFERROR(VLOOKUP(Проливка[[#This Row],[ID]]*1,'Срок хранения'!A274:C372,3,0),0)</f>
        <v>0</v>
      </c>
    </row>
    <row r="275" spans="1:26" x14ac:dyDescent="0.25">
      <c r="A275" s="9"/>
      <c r="B275" s="12" t="str">
        <f t="shared" si="17"/>
        <v xml:space="preserve"> </v>
      </c>
      <c r="C275" s="10" t="str">
        <f t="shared" si="16"/>
        <v xml:space="preserve"> </v>
      </c>
      <c r="D275" s="10">
        <f t="shared" si="18"/>
        <v>0</v>
      </c>
      <c r="E275" s="10">
        <f t="shared" si="19"/>
        <v>0</v>
      </c>
      <c r="W275" t="str">
        <f>IFERROR(MID(Проливка[[#This Row],[Штрихкод ]],1,FIND("-",Проливка[[#This Row],[Штрихкод ]],1)-1)," ")</f>
        <v xml:space="preserve"> </v>
      </c>
      <c r="X275" t="str">
        <f>IFERROR(RIGHT(Проливка[[#This Row],[Штрихкод ]],LEN(Проливка[[#This Row],[Штрихкод ]])-SEARCH("-",Проливка[[#This Row],[Штрихкод ]],1))," ")</f>
        <v xml:space="preserve"> </v>
      </c>
      <c r="Y275">
        <f>IFERROR(VLOOKUP(Проливка[[#This Row],[ID]]*1,'Срок хранения'!A275:B373,2,0),0)</f>
        <v>0</v>
      </c>
      <c r="Z275">
        <f>IFERROR(VLOOKUP(Проливка[[#This Row],[ID]]*1,'Срок хранения'!A275:C373,3,0),0)</f>
        <v>0</v>
      </c>
    </row>
    <row r="276" spans="1:26" x14ac:dyDescent="0.25">
      <c r="A276" s="9"/>
      <c r="B276" s="12" t="str">
        <f t="shared" si="17"/>
        <v xml:space="preserve"> </v>
      </c>
      <c r="C276" s="10" t="str">
        <f t="shared" si="16"/>
        <v xml:space="preserve"> </v>
      </c>
      <c r="D276" s="10">
        <f t="shared" si="18"/>
        <v>0</v>
      </c>
      <c r="E276" s="10">
        <f t="shared" si="19"/>
        <v>0</v>
      </c>
      <c r="W276" t="str">
        <f>IFERROR(MID(Проливка[[#This Row],[Штрихкод ]],1,FIND("-",Проливка[[#This Row],[Штрихкод ]],1)-1)," ")</f>
        <v xml:space="preserve"> </v>
      </c>
      <c r="X276" t="str">
        <f>IFERROR(RIGHT(Проливка[[#This Row],[Штрихкод ]],LEN(Проливка[[#This Row],[Штрихкод ]])-SEARCH("-",Проливка[[#This Row],[Штрихкод ]],1))," ")</f>
        <v xml:space="preserve"> </v>
      </c>
      <c r="Y276">
        <f>IFERROR(VLOOKUP(Проливка[[#This Row],[ID]]*1,'Срок хранения'!A276:B374,2,0),0)</f>
        <v>0</v>
      </c>
      <c r="Z276">
        <f>IFERROR(VLOOKUP(Проливка[[#This Row],[ID]]*1,'Срок хранения'!A276:C374,3,0),0)</f>
        <v>0</v>
      </c>
    </row>
    <row r="277" spans="1:26" x14ac:dyDescent="0.25">
      <c r="A277" s="9"/>
      <c r="B277" s="12" t="str">
        <f t="shared" si="17"/>
        <v xml:space="preserve"> </v>
      </c>
      <c r="C277" s="10" t="str">
        <f t="shared" si="16"/>
        <v xml:space="preserve"> </v>
      </c>
      <c r="D277" s="10">
        <f t="shared" si="18"/>
        <v>0</v>
      </c>
      <c r="E277" s="10">
        <f t="shared" si="19"/>
        <v>0</v>
      </c>
      <c r="W277" t="str">
        <f>IFERROR(MID(Проливка[[#This Row],[Штрихкод ]],1,FIND("-",Проливка[[#This Row],[Штрихкод ]],1)-1)," ")</f>
        <v xml:space="preserve"> </v>
      </c>
      <c r="X277" t="str">
        <f>IFERROR(RIGHT(Проливка[[#This Row],[Штрихкод ]],LEN(Проливка[[#This Row],[Штрихкод ]])-SEARCH("-",Проливка[[#This Row],[Штрихкод ]],1))," ")</f>
        <v xml:space="preserve"> </v>
      </c>
      <c r="Y277">
        <f>IFERROR(VLOOKUP(Проливка[[#This Row],[ID]]*1,'Срок хранения'!A277:B375,2,0),0)</f>
        <v>0</v>
      </c>
      <c r="Z277">
        <f>IFERROR(VLOOKUP(Проливка[[#This Row],[ID]]*1,'Срок хранения'!A277:C375,3,0),0)</f>
        <v>0</v>
      </c>
    </row>
    <row r="278" spans="1:26" x14ac:dyDescent="0.25">
      <c r="A278" s="9"/>
      <c r="B278" s="12" t="str">
        <f t="shared" si="17"/>
        <v xml:space="preserve"> </v>
      </c>
      <c r="C278" s="10" t="str">
        <f t="shared" si="16"/>
        <v xml:space="preserve"> </v>
      </c>
      <c r="D278" s="10">
        <f t="shared" si="18"/>
        <v>0</v>
      </c>
      <c r="E278" s="10">
        <f t="shared" si="19"/>
        <v>0</v>
      </c>
      <c r="W278" t="str">
        <f>IFERROR(MID(Проливка[[#This Row],[Штрихкод ]],1,FIND("-",Проливка[[#This Row],[Штрихкод ]],1)-1)," ")</f>
        <v xml:space="preserve"> </v>
      </c>
      <c r="X278" t="str">
        <f>IFERROR(RIGHT(Проливка[[#This Row],[Штрихкод ]],LEN(Проливка[[#This Row],[Штрихкод ]])-SEARCH("-",Проливка[[#This Row],[Штрихкод ]],1))," ")</f>
        <v xml:space="preserve"> </v>
      </c>
      <c r="Y278">
        <f>IFERROR(VLOOKUP(Проливка[[#This Row],[ID]]*1,'Срок хранения'!A278:B376,2,0),0)</f>
        <v>0</v>
      </c>
      <c r="Z278">
        <f>IFERROR(VLOOKUP(Проливка[[#This Row],[ID]]*1,'Срок хранения'!A278:C376,3,0),0)</f>
        <v>0</v>
      </c>
    </row>
    <row r="279" spans="1:26" x14ac:dyDescent="0.25">
      <c r="A279" s="9"/>
      <c r="B279" s="12" t="str">
        <f t="shared" si="17"/>
        <v xml:space="preserve"> </v>
      </c>
      <c r="C279" s="10" t="str">
        <f t="shared" si="16"/>
        <v xml:space="preserve"> </v>
      </c>
      <c r="D279" s="10">
        <f t="shared" si="18"/>
        <v>0</v>
      </c>
      <c r="E279" s="10">
        <f t="shared" si="19"/>
        <v>0</v>
      </c>
      <c r="W279" t="str">
        <f>IFERROR(MID(Проливка[[#This Row],[Штрихкод ]],1,FIND("-",Проливка[[#This Row],[Штрихкод ]],1)-1)," ")</f>
        <v xml:space="preserve"> </v>
      </c>
      <c r="X279" t="str">
        <f>IFERROR(RIGHT(Проливка[[#This Row],[Штрихкод ]],LEN(Проливка[[#This Row],[Штрихкод ]])-SEARCH("-",Проливка[[#This Row],[Штрихкод ]],1))," ")</f>
        <v xml:space="preserve"> </v>
      </c>
      <c r="Y279">
        <f>IFERROR(VLOOKUP(Проливка[[#This Row],[ID]]*1,'Срок хранения'!A279:B377,2,0),0)</f>
        <v>0</v>
      </c>
      <c r="Z279">
        <f>IFERROR(VLOOKUP(Проливка[[#This Row],[ID]]*1,'Срок хранения'!A279:C377,3,0),0)</f>
        <v>0</v>
      </c>
    </row>
    <row r="280" spans="1:26" x14ac:dyDescent="0.25">
      <c r="A280" s="9"/>
      <c r="B280" s="12" t="str">
        <f t="shared" si="17"/>
        <v xml:space="preserve"> </v>
      </c>
      <c r="C280" s="10" t="str">
        <f t="shared" si="16"/>
        <v xml:space="preserve"> </v>
      </c>
      <c r="D280" s="10">
        <f t="shared" si="18"/>
        <v>0</v>
      </c>
      <c r="E280" s="10">
        <f t="shared" si="19"/>
        <v>0</v>
      </c>
      <c r="W280" t="str">
        <f>IFERROR(MID(Проливка[[#This Row],[Штрихкод ]],1,FIND("-",Проливка[[#This Row],[Штрихкод ]],1)-1)," ")</f>
        <v xml:space="preserve"> </v>
      </c>
      <c r="X280" t="str">
        <f>IFERROR(RIGHT(Проливка[[#This Row],[Штрихкод ]],LEN(Проливка[[#This Row],[Штрихкод ]])-SEARCH("-",Проливка[[#This Row],[Штрихкод ]],1))," ")</f>
        <v xml:space="preserve"> </v>
      </c>
      <c r="Y280">
        <f>IFERROR(VLOOKUP(Проливка[[#This Row],[ID]]*1,'Срок хранения'!A280:B378,2,0),0)</f>
        <v>0</v>
      </c>
      <c r="Z280">
        <f>IFERROR(VLOOKUP(Проливка[[#This Row],[ID]]*1,'Срок хранения'!A280:C378,3,0),0)</f>
        <v>0</v>
      </c>
    </row>
    <row r="281" spans="1:26" x14ac:dyDescent="0.25">
      <c r="A281" s="9"/>
      <c r="B281" s="12" t="str">
        <f t="shared" si="17"/>
        <v xml:space="preserve"> </v>
      </c>
      <c r="C281" s="10" t="str">
        <f t="shared" si="16"/>
        <v xml:space="preserve"> </v>
      </c>
      <c r="D281" s="10">
        <f t="shared" si="18"/>
        <v>0</v>
      </c>
      <c r="E281" s="10">
        <f t="shared" si="19"/>
        <v>0</v>
      </c>
      <c r="W281" t="str">
        <f>IFERROR(MID(Проливка[[#This Row],[Штрихкод ]],1,FIND("-",Проливка[[#This Row],[Штрихкод ]],1)-1)," ")</f>
        <v xml:space="preserve"> </v>
      </c>
      <c r="X281" t="str">
        <f>IFERROR(RIGHT(Проливка[[#This Row],[Штрихкод ]],LEN(Проливка[[#This Row],[Штрихкод ]])-SEARCH("-",Проливка[[#This Row],[Штрихкод ]],1))," ")</f>
        <v xml:space="preserve"> </v>
      </c>
      <c r="Y281">
        <f>IFERROR(VLOOKUP(Проливка[[#This Row],[ID]]*1,'Срок хранения'!A281:B379,2,0),0)</f>
        <v>0</v>
      </c>
      <c r="Z281">
        <f>IFERROR(VLOOKUP(Проливка[[#This Row],[ID]]*1,'Срок хранения'!A281:C379,3,0),0)</f>
        <v>0</v>
      </c>
    </row>
    <row r="282" spans="1:26" x14ac:dyDescent="0.25">
      <c r="A282" s="9"/>
      <c r="B282" s="12" t="str">
        <f t="shared" si="17"/>
        <v xml:space="preserve"> </v>
      </c>
      <c r="C282" s="10" t="str">
        <f t="shared" si="16"/>
        <v xml:space="preserve"> </v>
      </c>
      <c r="D282" s="10">
        <f t="shared" si="18"/>
        <v>0</v>
      </c>
      <c r="E282" s="10">
        <f t="shared" si="19"/>
        <v>0</v>
      </c>
      <c r="W282" t="str">
        <f>IFERROR(MID(Проливка[[#This Row],[Штрихкод ]],1,FIND("-",Проливка[[#This Row],[Штрихкод ]],1)-1)," ")</f>
        <v xml:space="preserve"> </v>
      </c>
      <c r="X282" t="str">
        <f>IFERROR(RIGHT(Проливка[[#This Row],[Штрихкод ]],LEN(Проливка[[#This Row],[Штрихкод ]])-SEARCH("-",Проливка[[#This Row],[Штрихкод ]],1))," ")</f>
        <v xml:space="preserve"> </v>
      </c>
      <c r="Y282">
        <f>IFERROR(VLOOKUP(Проливка[[#This Row],[ID]]*1,'Срок хранения'!A282:B380,2,0),0)</f>
        <v>0</v>
      </c>
      <c r="Z282">
        <f>IFERROR(VLOOKUP(Проливка[[#This Row],[ID]]*1,'Срок хранения'!A282:C380,3,0),0)</f>
        <v>0</v>
      </c>
    </row>
    <row r="283" spans="1:26" x14ac:dyDescent="0.25">
      <c r="A283" s="9"/>
      <c r="B283" s="12" t="str">
        <f t="shared" si="17"/>
        <v xml:space="preserve"> </v>
      </c>
      <c r="C283" s="10" t="str">
        <f t="shared" si="16"/>
        <v xml:space="preserve"> </v>
      </c>
      <c r="D283" s="10">
        <f t="shared" si="18"/>
        <v>0</v>
      </c>
      <c r="E283" s="10">
        <f t="shared" si="19"/>
        <v>0</v>
      </c>
      <c r="W283" t="str">
        <f>IFERROR(MID(Проливка[[#This Row],[Штрихкод ]],1,FIND("-",Проливка[[#This Row],[Штрихкод ]],1)-1)," ")</f>
        <v xml:space="preserve"> </v>
      </c>
      <c r="X283" t="str">
        <f>IFERROR(RIGHT(Проливка[[#This Row],[Штрихкод ]],LEN(Проливка[[#This Row],[Штрихкод ]])-SEARCH("-",Проливка[[#This Row],[Штрихкод ]],1))," ")</f>
        <v xml:space="preserve"> </v>
      </c>
      <c r="Y283">
        <f>IFERROR(VLOOKUP(Проливка[[#This Row],[ID]]*1,'Срок хранения'!A283:B381,2,0),0)</f>
        <v>0</v>
      </c>
      <c r="Z283">
        <f>IFERROR(VLOOKUP(Проливка[[#This Row],[ID]]*1,'Срок хранения'!A283:C381,3,0),0)</f>
        <v>0</v>
      </c>
    </row>
    <row r="284" spans="1:26" x14ac:dyDescent="0.25">
      <c r="A284" s="9"/>
      <c r="B284" s="12" t="str">
        <f t="shared" si="17"/>
        <v xml:space="preserve"> </v>
      </c>
      <c r="C284" s="10" t="str">
        <f t="shared" si="16"/>
        <v xml:space="preserve"> </v>
      </c>
      <c r="D284" s="10">
        <f t="shared" si="18"/>
        <v>0</v>
      </c>
      <c r="E284" s="10">
        <f t="shared" si="19"/>
        <v>0</v>
      </c>
      <c r="W284" t="str">
        <f>IFERROR(MID(Проливка[[#This Row],[Штрихкод ]],1,FIND("-",Проливка[[#This Row],[Штрихкод ]],1)-1)," ")</f>
        <v xml:space="preserve"> </v>
      </c>
      <c r="X284" t="str">
        <f>IFERROR(RIGHT(Проливка[[#This Row],[Штрихкод ]],LEN(Проливка[[#This Row],[Штрихкод ]])-SEARCH("-",Проливка[[#This Row],[Штрихкод ]],1))," ")</f>
        <v xml:space="preserve"> </v>
      </c>
      <c r="Y284">
        <f>IFERROR(VLOOKUP(Проливка[[#This Row],[ID]]*1,'Срок хранения'!A284:B382,2,0),0)</f>
        <v>0</v>
      </c>
      <c r="Z284">
        <f>IFERROR(VLOOKUP(Проливка[[#This Row],[ID]]*1,'Срок хранения'!A284:C382,3,0),0)</f>
        <v>0</v>
      </c>
    </row>
    <row r="285" spans="1:26" x14ac:dyDescent="0.25">
      <c r="A285" s="9"/>
      <c r="B285" s="12" t="str">
        <f t="shared" si="17"/>
        <v xml:space="preserve"> </v>
      </c>
      <c r="C285" s="10" t="str">
        <f t="shared" si="16"/>
        <v xml:space="preserve"> </v>
      </c>
      <c r="D285" s="10">
        <f t="shared" si="18"/>
        <v>0</v>
      </c>
      <c r="E285" s="10">
        <f t="shared" si="19"/>
        <v>0</v>
      </c>
      <c r="W285" t="str">
        <f>IFERROR(MID(Проливка[[#This Row],[Штрихкод ]],1,FIND("-",Проливка[[#This Row],[Штрихкод ]],1)-1)," ")</f>
        <v xml:space="preserve"> </v>
      </c>
      <c r="X285" t="str">
        <f>IFERROR(RIGHT(Проливка[[#This Row],[Штрихкод ]],LEN(Проливка[[#This Row],[Штрихкод ]])-SEARCH("-",Проливка[[#This Row],[Штрихкод ]],1))," ")</f>
        <v xml:space="preserve"> </v>
      </c>
      <c r="Y285">
        <f>IFERROR(VLOOKUP(Проливка[[#This Row],[ID]]*1,'Срок хранения'!A285:B383,2,0),0)</f>
        <v>0</v>
      </c>
      <c r="Z285">
        <f>IFERROR(VLOOKUP(Проливка[[#This Row],[ID]]*1,'Срок хранения'!A285:C383,3,0),0)</f>
        <v>0</v>
      </c>
    </row>
    <row r="286" spans="1:26" x14ac:dyDescent="0.25">
      <c r="A286" s="9"/>
      <c r="B286" s="12" t="str">
        <f t="shared" si="17"/>
        <v xml:space="preserve"> </v>
      </c>
      <c r="C286" s="10" t="str">
        <f t="shared" si="16"/>
        <v xml:space="preserve"> </v>
      </c>
      <c r="D286" s="10">
        <f t="shared" si="18"/>
        <v>0</v>
      </c>
      <c r="E286" s="10">
        <f t="shared" si="19"/>
        <v>0</v>
      </c>
      <c r="W286" t="str">
        <f>IFERROR(MID(Проливка[[#This Row],[Штрихкод ]],1,FIND("-",Проливка[[#This Row],[Штрихкод ]],1)-1)," ")</f>
        <v xml:space="preserve"> </v>
      </c>
      <c r="X286" t="str">
        <f>IFERROR(RIGHT(Проливка[[#This Row],[Штрихкод ]],LEN(Проливка[[#This Row],[Штрихкод ]])-SEARCH("-",Проливка[[#This Row],[Штрихкод ]],1))," ")</f>
        <v xml:space="preserve"> </v>
      </c>
      <c r="Y286">
        <f>IFERROR(VLOOKUP(Проливка[[#This Row],[ID]]*1,'Срок хранения'!A286:B384,2,0),0)</f>
        <v>0</v>
      </c>
      <c r="Z286">
        <f>IFERROR(VLOOKUP(Проливка[[#This Row],[ID]]*1,'Срок хранения'!A286:C384,3,0),0)</f>
        <v>0</v>
      </c>
    </row>
    <row r="287" spans="1:26" x14ac:dyDescent="0.25">
      <c r="A287" s="9"/>
      <c r="B287" s="12" t="str">
        <f t="shared" si="17"/>
        <v xml:space="preserve"> </v>
      </c>
      <c r="C287" s="10" t="str">
        <f t="shared" si="16"/>
        <v xml:space="preserve"> </v>
      </c>
      <c r="D287" s="10">
        <f t="shared" si="18"/>
        <v>0</v>
      </c>
      <c r="E287" s="10">
        <f t="shared" si="19"/>
        <v>0</v>
      </c>
      <c r="W287" t="str">
        <f>IFERROR(MID(Проливка[[#This Row],[Штрихкод ]],1,FIND("-",Проливка[[#This Row],[Штрихкод ]],1)-1)," ")</f>
        <v xml:space="preserve"> </v>
      </c>
      <c r="X287" t="str">
        <f>IFERROR(RIGHT(Проливка[[#This Row],[Штрихкод ]],LEN(Проливка[[#This Row],[Штрихкод ]])-SEARCH("-",Проливка[[#This Row],[Штрихкод ]],1))," ")</f>
        <v xml:space="preserve"> </v>
      </c>
      <c r="Y287">
        <f>IFERROR(VLOOKUP(Проливка[[#This Row],[ID]]*1,'Срок хранения'!A287:B385,2,0),0)</f>
        <v>0</v>
      </c>
      <c r="Z287">
        <f>IFERROR(VLOOKUP(Проливка[[#This Row],[ID]]*1,'Срок хранения'!A287:C385,3,0),0)</f>
        <v>0</v>
      </c>
    </row>
    <row r="288" spans="1:26" x14ac:dyDescent="0.25">
      <c r="A288" s="9"/>
      <c r="B288" s="12" t="str">
        <f t="shared" si="17"/>
        <v xml:space="preserve"> </v>
      </c>
      <c r="C288" s="10" t="str">
        <f t="shared" si="16"/>
        <v xml:space="preserve"> </v>
      </c>
      <c r="D288" s="10">
        <f t="shared" si="18"/>
        <v>0</v>
      </c>
      <c r="E288" s="10">
        <f t="shared" si="19"/>
        <v>0</v>
      </c>
      <c r="W288" t="str">
        <f>IFERROR(MID(Проливка[[#This Row],[Штрихкод ]],1,FIND("-",Проливка[[#This Row],[Штрихкод ]],1)-1)," ")</f>
        <v xml:space="preserve"> </v>
      </c>
      <c r="X288" t="str">
        <f>IFERROR(RIGHT(Проливка[[#This Row],[Штрихкод ]],LEN(Проливка[[#This Row],[Штрихкод ]])-SEARCH("-",Проливка[[#This Row],[Штрихкод ]],1))," ")</f>
        <v xml:space="preserve"> </v>
      </c>
      <c r="Y288">
        <f>IFERROR(VLOOKUP(Проливка[[#This Row],[ID]]*1,'Срок хранения'!A288:B386,2,0),0)</f>
        <v>0</v>
      </c>
      <c r="Z288">
        <f>IFERROR(VLOOKUP(Проливка[[#This Row],[ID]]*1,'Срок хранения'!A288:C386,3,0),0)</f>
        <v>0</v>
      </c>
    </row>
    <row r="289" spans="1:26" x14ac:dyDescent="0.25">
      <c r="A289" s="9"/>
      <c r="B289" s="12" t="str">
        <f t="shared" si="17"/>
        <v xml:space="preserve"> </v>
      </c>
      <c r="C289" s="10" t="str">
        <f t="shared" si="16"/>
        <v xml:space="preserve"> </v>
      </c>
      <c r="D289" s="10">
        <f t="shared" si="18"/>
        <v>0</v>
      </c>
      <c r="E289" s="10">
        <f t="shared" si="19"/>
        <v>0</v>
      </c>
      <c r="W289" t="str">
        <f>IFERROR(MID(Проливка[[#This Row],[Штрихкод ]],1,FIND("-",Проливка[[#This Row],[Штрихкод ]],1)-1)," ")</f>
        <v xml:space="preserve"> </v>
      </c>
      <c r="X289" t="str">
        <f>IFERROR(RIGHT(Проливка[[#This Row],[Штрихкод ]],LEN(Проливка[[#This Row],[Штрихкод ]])-SEARCH("-",Проливка[[#This Row],[Штрихкод ]],1))," ")</f>
        <v xml:space="preserve"> </v>
      </c>
      <c r="Y289">
        <f>IFERROR(VLOOKUP(Проливка[[#This Row],[ID]]*1,'Срок хранения'!A289:B387,2,0),0)</f>
        <v>0</v>
      </c>
      <c r="Z289">
        <f>IFERROR(VLOOKUP(Проливка[[#This Row],[ID]]*1,'Срок хранения'!A289:C387,3,0),0)</f>
        <v>0</v>
      </c>
    </row>
    <row r="290" spans="1:26" x14ac:dyDescent="0.25">
      <c r="A290" s="9"/>
      <c r="B290" s="12" t="str">
        <f t="shared" si="17"/>
        <v xml:space="preserve"> </v>
      </c>
      <c r="C290" s="10" t="str">
        <f t="shared" si="16"/>
        <v xml:space="preserve"> </v>
      </c>
      <c r="D290" s="10">
        <f t="shared" si="18"/>
        <v>0</v>
      </c>
      <c r="E290" s="10">
        <f t="shared" si="19"/>
        <v>0</v>
      </c>
      <c r="W290" t="str">
        <f>IFERROR(MID(Проливка[[#This Row],[Штрихкод ]],1,FIND("-",Проливка[[#This Row],[Штрихкод ]],1)-1)," ")</f>
        <v xml:space="preserve"> </v>
      </c>
      <c r="X290" t="str">
        <f>IFERROR(RIGHT(Проливка[[#This Row],[Штрихкод ]],LEN(Проливка[[#This Row],[Штрихкод ]])-SEARCH("-",Проливка[[#This Row],[Штрихкод ]],1))," ")</f>
        <v xml:space="preserve"> </v>
      </c>
      <c r="Y290">
        <f>IFERROR(VLOOKUP(Проливка[[#This Row],[ID]]*1,'Срок хранения'!A290:B388,2,0),0)</f>
        <v>0</v>
      </c>
      <c r="Z290">
        <f>IFERROR(VLOOKUP(Проливка[[#This Row],[ID]]*1,'Срок хранения'!A290:C388,3,0),0)</f>
        <v>0</v>
      </c>
    </row>
    <row r="291" spans="1:26" x14ac:dyDescent="0.25">
      <c r="A291" s="9"/>
      <c r="B291" s="12" t="str">
        <f t="shared" si="17"/>
        <v xml:space="preserve"> </v>
      </c>
      <c r="C291" s="10" t="str">
        <f t="shared" si="16"/>
        <v xml:space="preserve"> </v>
      </c>
      <c r="D291" s="10">
        <f t="shared" si="18"/>
        <v>0</v>
      </c>
      <c r="E291" s="10">
        <f t="shared" si="19"/>
        <v>0</v>
      </c>
      <c r="W291" t="str">
        <f>IFERROR(MID(Проливка[[#This Row],[Штрихкод ]],1,FIND("-",Проливка[[#This Row],[Штрихкод ]],1)-1)," ")</f>
        <v xml:space="preserve"> </v>
      </c>
      <c r="X291" t="str">
        <f>IFERROR(RIGHT(Проливка[[#This Row],[Штрихкод ]],LEN(Проливка[[#This Row],[Штрихкод ]])-SEARCH("-",Проливка[[#This Row],[Штрихкод ]],1))," ")</f>
        <v xml:space="preserve"> </v>
      </c>
      <c r="Y291">
        <f>IFERROR(VLOOKUP(Проливка[[#This Row],[ID]]*1,'Срок хранения'!A291:B389,2,0),0)</f>
        <v>0</v>
      </c>
      <c r="Z291">
        <f>IFERROR(VLOOKUP(Проливка[[#This Row],[ID]]*1,'Срок хранения'!A291:C389,3,0),0)</f>
        <v>0</v>
      </c>
    </row>
    <row r="292" spans="1:26" x14ac:dyDescent="0.25">
      <c r="A292" s="9"/>
      <c r="B292" s="12" t="str">
        <f t="shared" si="17"/>
        <v xml:space="preserve"> </v>
      </c>
      <c r="C292" s="10" t="str">
        <f t="shared" si="16"/>
        <v xml:space="preserve"> </v>
      </c>
      <c r="D292" s="10">
        <f t="shared" si="18"/>
        <v>0</v>
      </c>
      <c r="E292" s="10">
        <f t="shared" si="19"/>
        <v>0</v>
      </c>
      <c r="W292" t="str">
        <f>IFERROR(MID(Проливка[[#This Row],[Штрихкод ]],1,FIND("-",Проливка[[#This Row],[Штрихкод ]],1)-1)," ")</f>
        <v xml:space="preserve"> </v>
      </c>
      <c r="X292" t="str">
        <f>IFERROR(RIGHT(Проливка[[#This Row],[Штрихкод ]],LEN(Проливка[[#This Row],[Штрихкод ]])-SEARCH("-",Проливка[[#This Row],[Штрихкод ]],1))," ")</f>
        <v xml:space="preserve"> </v>
      </c>
      <c r="Y292">
        <f>IFERROR(VLOOKUP(Проливка[[#This Row],[ID]]*1,'Срок хранения'!A292:B390,2,0),0)</f>
        <v>0</v>
      </c>
      <c r="Z292">
        <f>IFERROR(VLOOKUP(Проливка[[#This Row],[ID]]*1,'Срок хранения'!A292:C390,3,0),0)</f>
        <v>0</v>
      </c>
    </row>
    <row r="293" spans="1:26" x14ac:dyDescent="0.25">
      <c r="A293" s="9"/>
      <c r="B293" s="12" t="str">
        <f t="shared" si="17"/>
        <v xml:space="preserve"> </v>
      </c>
      <c r="C293" s="10" t="str">
        <f t="shared" si="16"/>
        <v xml:space="preserve"> </v>
      </c>
      <c r="D293" s="10">
        <f t="shared" si="18"/>
        <v>0</v>
      </c>
      <c r="E293" s="10">
        <f t="shared" si="19"/>
        <v>0</v>
      </c>
      <c r="W293" t="str">
        <f>IFERROR(MID(Проливка[[#This Row],[Штрихкод ]],1,FIND("-",Проливка[[#This Row],[Штрихкод ]],1)-1)," ")</f>
        <v xml:space="preserve"> </v>
      </c>
      <c r="X293" t="str">
        <f>IFERROR(RIGHT(Проливка[[#This Row],[Штрихкод ]],LEN(Проливка[[#This Row],[Штрихкод ]])-SEARCH("-",Проливка[[#This Row],[Штрихкод ]],1))," ")</f>
        <v xml:space="preserve"> </v>
      </c>
      <c r="Y293">
        <f>IFERROR(VLOOKUP(Проливка[[#This Row],[ID]]*1,'Срок хранения'!A293:B391,2,0),0)</f>
        <v>0</v>
      </c>
      <c r="Z293">
        <f>IFERROR(VLOOKUP(Проливка[[#This Row],[ID]]*1,'Срок хранения'!A293:C391,3,0),0)</f>
        <v>0</v>
      </c>
    </row>
    <row r="294" spans="1:26" x14ac:dyDescent="0.25">
      <c r="A294" s="9"/>
      <c r="B294" s="12" t="str">
        <f t="shared" si="17"/>
        <v xml:space="preserve"> </v>
      </c>
      <c r="C294" s="10" t="str">
        <f t="shared" si="16"/>
        <v xml:space="preserve"> </v>
      </c>
      <c r="D294" s="10">
        <f t="shared" si="18"/>
        <v>0</v>
      </c>
      <c r="E294" s="10">
        <f t="shared" si="19"/>
        <v>0</v>
      </c>
      <c r="W294" t="str">
        <f>IFERROR(MID(Проливка[[#This Row],[Штрихкод ]],1,FIND("-",Проливка[[#This Row],[Штрихкод ]],1)-1)," ")</f>
        <v xml:space="preserve"> </v>
      </c>
      <c r="X294" t="str">
        <f>IFERROR(RIGHT(Проливка[[#This Row],[Штрихкод ]],LEN(Проливка[[#This Row],[Штрихкод ]])-SEARCH("-",Проливка[[#This Row],[Штрихкод ]],1))," ")</f>
        <v xml:space="preserve"> </v>
      </c>
      <c r="Y294">
        <f>IFERROR(VLOOKUP(Проливка[[#This Row],[ID]]*1,'Срок хранения'!A294:B392,2,0),0)</f>
        <v>0</v>
      </c>
      <c r="Z294">
        <f>IFERROR(VLOOKUP(Проливка[[#This Row],[ID]]*1,'Срок хранения'!A294:C392,3,0),0)</f>
        <v>0</v>
      </c>
    </row>
    <row r="295" spans="1:26" x14ac:dyDescent="0.25">
      <c r="A295" s="9"/>
      <c r="B295" s="12" t="str">
        <f t="shared" si="17"/>
        <v xml:space="preserve"> </v>
      </c>
      <c r="C295" s="10" t="str">
        <f t="shared" si="16"/>
        <v xml:space="preserve"> </v>
      </c>
      <c r="D295" s="10">
        <f t="shared" si="18"/>
        <v>0</v>
      </c>
      <c r="E295" s="10">
        <f t="shared" si="19"/>
        <v>0</v>
      </c>
      <c r="W295" t="str">
        <f>IFERROR(MID(Проливка[[#This Row],[Штрихкод ]],1,FIND("-",Проливка[[#This Row],[Штрихкод ]],1)-1)," ")</f>
        <v xml:space="preserve"> </v>
      </c>
      <c r="X295" t="str">
        <f>IFERROR(RIGHT(Проливка[[#This Row],[Штрихкод ]],LEN(Проливка[[#This Row],[Штрихкод ]])-SEARCH("-",Проливка[[#This Row],[Штрихкод ]],1))," ")</f>
        <v xml:space="preserve"> </v>
      </c>
      <c r="Y295">
        <f>IFERROR(VLOOKUP(Проливка[[#This Row],[ID]]*1,'Срок хранения'!A295:B393,2,0),0)</f>
        <v>0</v>
      </c>
      <c r="Z295">
        <f>IFERROR(VLOOKUP(Проливка[[#This Row],[ID]]*1,'Срок хранения'!A295:C393,3,0),0)</f>
        <v>0</v>
      </c>
    </row>
    <row r="296" spans="1:26" x14ac:dyDescent="0.25">
      <c r="A296" s="9"/>
      <c r="B296" s="12" t="str">
        <f t="shared" si="17"/>
        <v xml:space="preserve"> </v>
      </c>
      <c r="C296" s="10" t="str">
        <f t="shared" si="16"/>
        <v xml:space="preserve"> </v>
      </c>
      <c r="D296" s="10">
        <f t="shared" si="18"/>
        <v>0</v>
      </c>
      <c r="E296" s="10">
        <f t="shared" si="19"/>
        <v>0</v>
      </c>
      <c r="W296" t="str">
        <f>IFERROR(MID(Проливка[[#This Row],[Штрихкод ]],1,FIND("-",Проливка[[#This Row],[Штрихкод ]],1)-1)," ")</f>
        <v xml:space="preserve"> </v>
      </c>
      <c r="X296" t="str">
        <f>IFERROR(RIGHT(Проливка[[#This Row],[Штрихкод ]],LEN(Проливка[[#This Row],[Штрихкод ]])-SEARCH("-",Проливка[[#This Row],[Штрихкод ]],1))," ")</f>
        <v xml:space="preserve"> </v>
      </c>
      <c r="Y296">
        <f>IFERROR(VLOOKUP(Проливка[[#This Row],[ID]]*1,'Срок хранения'!A296:B394,2,0),0)</f>
        <v>0</v>
      </c>
      <c r="Z296">
        <f>IFERROR(VLOOKUP(Проливка[[#This Row],[ID]]*1,'Срок хранения'!A296:C394,3,0),0)</f>
        <v>0</v>
      </c>
    </row>
    <row r="297" spans="1:26" x14ac:dyDescent="0.25">
      <c r="A297" s="9"/>
      <c r="B297" s="12" t="str">
        <f t="shared" si="17"/>
        <v xml:space="preserve"> </v>
      </c>
      <c r="C297" s="10" t="str">
        <f t="shared" si="16"/>
        <v xml:space="preserve"> </v>
      </c>
      <c r="D297" s="10">
        <f t="shared" si="18"/>
        <v>0</v>
      </c>
      <c r="E297" s="10">
        <f t="shared" si="19"/>
        <v>0</v>
      </c>
      <c r="W297" t="str">
        <f>IFERROR(MID(Проливка[[#This Row],[Штрихкод ]],1,FIND("-",Проливка[[#This Row],[Штрихкод ]],1)-1)," ")</f>
        <v xml:space="preserve"> </v>
      </c>
      <c r="X297" t="str">
        <f>IFERROR(RIGHT(Проливка[[#This Row],[Штрихкод ]],LEN(Проливка[[#This Row],[Штрихкод ]])-SEARCH("-",Проливка[[#This Row],[Штрихкод ]],1))," ")</f>
        <v xml:space="preserve"> </v>
      </c>
      <c r="Y297">
        <f>IFERROR(VLOOKUP(Проливка[[#This Row],[ID]]*1,'Срок хранения'!A297:B395,2,0),0)</f>
        <v>0</v>
      </c>
      <c r="Z297">
        <f>IFERROR(VLOOKUP(Проливка[[#This Row],[ID]]*1,'Срок хранения'!A297:C395,3,0),0)</f>
        <v>0</v>
      </c>
    </row>
    <row r="298" spans="1:26" x14ac:dyDescent="0.25">
      <c r="A298" s="9"/>
      <c r="B298" s="12" t="str">
        <f t="shared" si="17"/>
        <v xml:space="preserve"> </v>
      </c>
      <c r="C298" s="10" t="str">
        <f t="shared" si="16"/>
        <v xml:space="preserve"> </v>
      </c>
      <c r="D298" s="10">
        <f t="shared" si="18"/>
        <v>0</v>
      </c>
      <c r="E298" s="10">
        <f t="shared" si="19"/>
        <v>0</v>
      </c>
      <c r="W298" t="str">
        <f>IFERROR(MID(Проливка[[#This Row],[Штрихкод ]],1,FIND("-",Проливка[[#This Row],[Штрихкод ]],1)-1)," ")</f>
        <v xml:space="preserve"> </v>
      </c>
      <c r="X298" t="str">
        <f>IFERROR(RIGHT(Проливка[[#This Row],[Штрихкод ]],LEN(Проливка[[#This Row],[Штрихкод ]])-SEARCH("-",Проливка[[#This Row],[Штрихкод ]],1))," ")</f>
        <v xml:space="preserve"> </v>
      </c>
      <c r="Y298">
        <f>IFERROR(VLOOKUP(Проливка[[#This Row],[ID]]*1,'Срок хранения'!A298:B396,2,0),0)</f>
        <v>0</v>
      </c>
      <c r="Z298">
        <f>IFERROR(VLOOKUP(Проливка[[#This Row],[ID]]*1,'Срок хранения'!A298:C396,3,0),0)</f>
        <v>0</v>
      </c>
    </row>
    <row r="299" spans="1:26" x14ac:dyDescent="0.25">
      <c r="A299" s="9"/>
      <c r="B299" s="12" t="str">
        <f t="shared" si="17"/>
        <v xml:space="preserve"> </v>
      </c>
      <c r="C299" s="10" t="str">
        <f t="shared" si="16"/>
        <v xml:space="preserve"> </v>
      </c>
      <c r="D299" s="10">
        <f t="shared" si="18"/>
        <v>0</v>
      </c>
      <c r="E299" s="10">
        <f t="shared" si="19"/>
        <v>0</v>
      </c>
      <c r="W299" t="str">
        <f>IFERROR(MID(Проливка[[#This Row],[Штрихкод ]],1,FIND("-",Проливка[[#This Row],[Штрихкод ]],1)-1)," ")</f>
        <v xml:space="preserve"> </v>
      </c>
      <c r="X299" t="str">
        <f>IFERROR(RIGHT(Проливка[[#This Row],[Штрихкод ]],LEN(Проливка[[#This Row],[Штрихкод ]])-SEARCH("-",Проливка[[#This Row],[Штрихкод ]],1))," ")</f>
        <v xml:space="preserve"> </v>
      </c>
      <c r="Y299">
        <f>IFERROR(VLOOKUP(Проливка[[#This Row],[ID]]*1,'Срок хранения'!A299:B397,2,0),0)</f>
        <v>0</v>
      </c>
      <c r="Z299">
        <f>IFERROR(VLOOKUP(Проливка[[#This Row],[ID]]*1,'Срок хранения'!A299:C397,3,0),0)</f>
        <v>0</v>
      </c>
    </row>
    <row r="300" spans="1:26" x14ac:dyDescent="0.25">
      <c r="A300" s="9"/>
      <c r="B300" s="12" t="str">
        <f t="shared" si="17"/>
        <v xml:space="preserve"> </v>
      </c>
      <c r="C300" s="10" t="str">
        <f t="shared" si="16"/>
        <v xml:space="preserve"> </v>
      </c>
      <c r="D300" s="10">
        <f t="shared" si="18"/>
        <v>0</v>
      </c>
      <c r="E300" s="10">
        <f t="shared" si="19"/>
        <v>0</v>
      </c>
      <c r="W300" t="str">
        <f>IFERROR(MID(Проливка[[#This Row],[Штрихкод ]],1,FIND("-",Проливка[[#This Row],[Штрихкод ]],1)-1)," ")</f>
        <v xml:space="preserve"> </v>
      </c>
      <c r="X300" t="str">
        <f>IFERROR(RIGHT(Проливка[[#This Row],[Штрихкод ]],LEN(Проливка[[#This Row],[Штрихкод ]])-SEARCH("-",Проливка[[#This Row],[Штрихкод ]],1))," ")</f>
        <v xml:space="preserve"> </v>
      </c>
      <c r="Y300">
        <f>IFERROR(VLOOKUP(Проливка[[#This Row],[ID]]*1,'Срок хранения'!A300:B398,2,0),0)</f>
        <v>0</v>
      </c>
      <c r="Z300">
        <f>IFERROR(VLOOKUP(Проливка[[#This Row],[ID]]*1,'Срок хранения'!A300:C398,3,0),0)</f>
        <v>0</v>
      </c>
    </row>
    <row r="301" spans="1:26" x14ac:dyDescent="0.25">
      <c r="A301" s="9"/>
      <c r="B301" s="12" t="str">
        <f t="shared" si="17"/>
        <v xml:space="preserve"> </v>
      </c>
      <c r="C301" s="10" t="str">
        <f t="shared" si="16"/>
        <v xml:space="preserve"> </v>
      </c>
      <c r="D301" s="10">
        <f t="shared" si="18"/>
        <v>0</v>
      </c>
      <c r="E301" s="10">
        <f t="shared" si="19"/>
        <v>0</v>
      </c>
      <c r="W301" t="str">
        <f>IFERROR(MID(Проливка[[#This Row],[Штрихкод ]],1,FIND("-",Проливка[[#This Row],[Штрихкод ]],1)-1)," ")</f>
        <v xml:space="preserve"> </v>
      </c>
      <c r="X301" t="str">
        <f>IFERROR(RIGHT(Проливка[[#This Row],[Штрихкод ]],LEN(Проливка[[#This Row],[Штрихкод ]])-SEARCH("-",Проливка[[#This Row],[Штрихкод ]],1))," ")</f>
        <v xml:space="preserve"> </v>
      </c>
      <c r="Y301">
        <f>IFERROR(VLOOKUP(Проливка[[#This Row],[ID]]*1,'Срок хранения'!A301:B399,2,0),0)</f>
        <v>0</v>
      </c>
      <c r="Z301">
        <f>IFERROR(VLOOKUP(Проливка[[#This Row],[ID]]*1,'Срок хранения'!A301:C399,3,0),0)</f>
        <v>0</v>
      </c>
    </row>
    <row r="302" spans="1:26" x14ac:dyDescent="0.25">
      <c r="A302" s="9"/>
      <c r="B302" s="12" t="str">
        <f t="shared" si="17"/>
        <v xml:space="preserve"> </v>
      </c>
      <c r="C302" s="10" t="str">
        <f t="shared" si="16"/>
        <v xml:space="preserve"> </v>
      </c>
      <c r="D302" s="10">
        <f t="shared" si="18"/>
        <v>0</v>
      </c>
      <c r="E302" s="10">
        <f t="shared" si="19"/>
        <v>0</v>
      </c>
      <c r="W302" t="str">
        <f>IFERROR(MID(Проливка[[#This Row],[Штрихкод ]],1,FIND("-",Проливка[[#This Row],[Штрихкод ]],1)-1)," ")</f>
        <v xml:space="preserve"> </v>
      </c>
      <c r="X302" t="str">
        <f>IFERROR(RIGHT(Проливка[[#This Row],[Штрихкод ]],LEN(Проливка[[#This Row],[Штрихкод ]])-SEARCH("-",Проливка[[#This Row],[Штрихкод ]],1))," ")</f>
        <v xml:space="preserve"> </v>
      </c>
      <c r="Y302">
        <f>IFERROR(VLOOKUP(Проливка[[#This Row],[ID]]*1,'Срок хранения'!A302:B400,2,0),0)</f>
        <v>0</v>
      </c>
      <c r="Z302">
        <f>IFERROR(VLOOKUP(Проливка[[#This Row],[ID]]*1,'Срок хранения'!A302:C400,3,0),0)</f>
        <v>0</v>
      </c>
    </row>
    <row r="303" spans="1:26" x14ac:dyDescent="0.25">
      <c r="A303" s="9"/>
      <c r="B303" s="12" t="str">
        <f t="shared" si="17"/>
        <v xml:space="preserve"> </v>
      </c>
      <c r="C303" s="10" t="str">
        <f t="shared" si="16"/>
        <v xml:space="preserve"> </v>
      </c>
      <c r="D303" s="10">
        <f t="shared" si="18"/>
        <v>0</v>
      </c>
      <c r="E303" s="10">
        <f t="shared" si="19"/>
        <v>0</v>
      </c>
      <c r="W303" t="str">
        <f>IFERROR(MID(Проливка[[#This Row],[Штрихкод ]],1,FIND("-",Проливка[[#This Row],[Штрихкод ]],1)-1)," ")</f>
        <v xml:space="preserve"> </v>
      </c>
      <c r="X303" t="str">
        <f>IFERROR(RIGHT(Проливка[[#This Row],[Штрихкод ]],LEN(Проливка[[#This Row],[Штрихкод ]])-SEARCH("-",Проливка[[#This Row],[Штрихкод ]],1))," ")</f>
        <v xml:space="preserve"> </v>
      </c>
      <c r="Y303">
        <f>IFERROR(VLOOKUP(Проливка[[#This Row],[ID]]*1,'Срок хранения'!A303:B401,2,0),0)</f>
        <v>0</v>
      </c>
      <c r="Z303">
        <f>IFERROR(VLOOKUP(Проливка[[#This Row],[ID]]*1,'Срок хранения'!A303:C401,3,0),0)</f>
        <v>0</v>
      </c>
    </row>
    <row r="304" spans="1:26" x14ac:dyDescent="0.25">
      <c r="A304" s="9"/>
      <c r="B304" s="12" t="str">
        <f t="shared" si="17"/>
        <v xml:space="preserve"> </v>
      </c>
      <c r="C304" s="10" t="str">
        <f t="shared" si="16"/>
        <v xml:space="preserve"> </v>
      </c>
      <c r="D304" s="10">
        <f t="shared" si="18"/>
        <v>0</v>
      </c>
      <c r="E304" s="10">
        <f t="shared" si="19"/>
        <v>0</v>
      </c>
      <c r="W304" t="str">
        <f>IFERROR(MID(Проливка[[#This Row],[Штрихкод ]],1,FIND("-",Проливка[[#This Row],[Штрихкод ]],1)-1)," ")</f>
        <v xml:space="preserve"> </v>
      </c>
      <c r="X304" t="str">
        <f>IFERROR(RIGHT(Проливка[[#This Row],[Штрихкод ]],LEN(Проливка[[#This Row],[Штрихкод ]])-SEARCH("-",Проливка[[#This Row],[Штрихкод ]],1))," ")</f>
        <v xml:space="preserve"> </v>
      </c>
      <c r="Y304">
        <f>IFERROR(VLOOKUP(Проливка[[#This Row],[ID]]*1,'Срок хранения'!A304:B402,2,0),0)</f>
        <v>0</v>
      </c>
      <c r="Z304">
        <f>IFERROR(VLOOKUP(Проливка[[#This Row],[ID]]*1,'Срок хранения'!A304:C402,3,0),0)</f>
        <v>0</v>
      </c>
    </row>
    <row r="305" spans="1:26" x14ac:dyDescent="0.25">
      <c r="A305" s="9"/>
      <c r="B305" s="12" t="str">
        <f t="shared" si="17"/>
        <v xml:space="preserve"> </v>
      </c>
      <c r="C305" s="10" t="str">
        <f t="shared" si="16"/>
        <v xml:space="preserve"> </v>
      </c>
      <c r="D305" s="10">
        <f t="shared" si="18"/>
        <v>0</v>
      </c>
      <c r="E305" s="10">
        <f t="shared" si="19"/>
        <v>0</v>
      </c>
      <c r="W305" t="str">
        <f>IFERROR(MID(Проливка[[#This Row],[Штрихкод ]],1,FIND("-",Проливка[[#This Row],[Штрихкод ]],1)-1)," ")</f>
        <v xml:space="preserve"> </v>
      </c>
      <c r="X305" t="str">
        <f>IFERROR(RIGHT(Проливка[[#This Row],[Штрихкод ]],LEN(Проливка[[#This Row],[Штрихкод ]])-SEARCH("-",Проливка[[#This Row],[Штрихкод ]],1))," ")</f>
        <v xml:space="preserve"> </v>
      </c>
      <c r="Y305">
        <f>IFERROR(VLOOKUP(Проливка[[#This Row],[ID]]*1,'Срок хранения'!A305:B403,2,0),0)</f>
        <v>0</v>
      </c>
      <c r="Z305">
        <f>IFERROR(VLOOKUP(Проливка[[#This Row],[ID]]*1,'Срок хранения'!A305:C403,3,0),0)</f>
        <v>0</v>
      </c>
    </row>
    <row r="306" spans="1:26" x14ac:dyDescent="0.25">
      <c r="A306" s="9"/>
      <c r="B306" s="12" t="str">
        <f t="shared" si="17"/>
        <v xml:space="preserve"> </v>
      </c>
      <c r="C306" s="10" t="str">
        <f t="shared" si="16"/>
        <v xml:space="preserve"> </v>
      </c>
      <c r="D306" s="10">
        <f t="shared" si="18"/>
        <v>0</v>
      </c>
      <c r="E306" s="10">
        <f t="shared" si="19"/>
        <v>0</v>
      </c>
      <c r="W306" t="str">
        <f>IFERROR(MID(Проливка[[#This Row],[Штрихкод ]],1,FIND("-",Проливка[[#This Row],[Штрихкод ]],1)-1)," ")</f>
        <v xml:space="preserve"> </v>
      </c>
      <c r="X306" t="str">
        <f>IFERROR(RIGHT(Проливка[[#This Row],[Штрихкод ]],LEN(Проливка[[#This Row],[Штрихкод ]])-SEARCH("-",Проливка[[#This Row],[Штрихкод ]],1))," ")</f>
        <v xml:space="preserve"> </v>
      </c>
      <c r="Y306">
        <f>IFERROR(VLOOKUP(Проливка[[#This Row],[ID]]*1,'Срок хранения'!A306:B404,2,0),0)</f>
        <v>0</v>
      </c>
      <c r="Z306">
        <f>IFERROR(VLOOKUP(Проливка[[#This Row],[ID]]*1,'Срок хранения'!A306:C404,3,0),0)</f>
        <v>0</v>
      </c>
    </row>
    <row r="307" spans="1:26" x14ac:dyDescent="0.25">
      <c r="A307" s="9"/>
      <c r="B307" s="12" t="str">
        <f t="shared" si="17"/>
        <v xml:space="preserve"> </v>
      </c>
      <c r="C307" s="10" t="str">
        <f t="shared" si="16"/>
        <v xml:space="preserve"> </v>
      </c>
      <c r="D307" s="10">
        <f t="shared" si="18"/>
        <v>0</v>
      </c>
      <c r="E307" s="10">
        <f t="shared" si="19"/>
        <v>0</v>
      </c>
      <c r="W307" t="str">
        <f>IFERROR(MID(Проливка[[#This Row],[Штрихкод ]],1,FIND("-",Проливка[[#This Row],[Штрихкод ]],1)-1)," ")</f>
        <v xml:space="preserve"> </v>
      </c>
      <c r="X307" t="str">
        <f>IFERROR(RIGHT(Проливка[[#This Row],[Штрихкод ]],LEN(Проливка[[#This Row],[Штрихкод ]])-SEARCH("-",Проливка[[#This Row],[Штрихкод ]],1))," ")</f>
        <v xml:space="preserve"> </v>
      </c>
      <c r="Y307">
        <f>IFERROR(VLOOKUP(Проливка[[#This Row],[ID]]*1,'Срок хранения'!A307:B405,2,0),0)</f>
        <v>0</v>
      </c>
      <c r="Z307">
        <f>IFERROR(VLOOKUP(Проливка[[#This Row],[ID]]*1,'Срок хранения'!A307:C405,3,0),0)</f>
        <v>0</v>
      </c>
    </row>
    <row r="308" spans="1:26" x14ac:dyDescent="0.25">
      <c r="A308" s="9"/>
      <c r="B308" s="12" t="str">
        <f t="shared" si="17"/>
        <v xml:space="preserve"> </v>
      </c>
      <c r="C308" s="10" t="str">
        <f t="shared" si="16"/>
        <v xml:space="preserve"> </v>
      </c>
      <c r="D308" s="10">
        <f t="shared" si="18"/>
        <v>0</v>
      </c>
      <c r="E308" s="10">
        <f t="shared" si="19"/>
        <v>0</v>
      </c>
      <c r="W308" t="str">
        <f>IFERROR(MID(Проливка[[#This Row],[Штрихкод ]],1,FIND("-",Проливка[[#This Row],[Штрихкод ]],1)-1)," ")</f>
        <v xml:space="preserve"> </v>
      </c>
      <c r="X308" t="str">
        <f>IFERROR(RIGHT(Проливка[[#This Row],[Штрихкод ]],LEN(Проливка[[#This Row],[Штрихкод ]])-SEARCH("-",Проливка[[#This Row],[Штрихкод ]],1))," ")</f>
        <v xml:space="preserve"> </v>
      </c>
      <c r="Y308">
        <f>IFERROR(VLOOKUP(Проливка[[#This Row],[ID]]*1,'Срок хранения'!A308:B406,2,0),0)</f>
        <v>0</v>
      </c>
      <c r="Z308">
        <f>IFERROR(VLOOKUP(Проливка[[#This Row],[ID]]*1,'Срок хранения'!A308:C406,3,0),0)</f>
        <v>0</v>
      </c>
    </row>
    <row r="309" spans="1:26" x14ac:dyDescent="0.25">
      <c r="A309" s="9"/>
      <c r="B309" s="12" t="str">
        <f t="shared" si="17"/>
        <v xml:space="preserve"> </v>
      </c>
      <c r="C309" s="10" t="str">
        <f t="shared" si="16"/>
        <v xml:space="preserve"> </v>
      </c>
      <c r="D309" s="10">
        <f t="shared" si="18"/>
        <v>0</v>
      </c>
      <c r="E309" s="10">
        <f t="shared" si="19"/>
        <v>0</v>
      </c>
      <c r="W309" t="str">
        <f>IFERROR(MID(Проливка[[#This Row],[Штрихкод ]],1,FIND("-",Проливка[[#This Row],[Штрихкод ]],1)-1)," ")</f>
        <v xml:space="preserve"> </v>
      </c>
      <c r="X309" t="str">
        <f>IFERROR(RIGHT(Проливка[[#This Row],[Штрихкод ]],LEN(Проливка[[#This Row],[Штрихкод ]])-SEARCH("-",Проливка[[#This Row],[Штрихкод ]],1))," ")</f>
        <v xml:space="preserve"> </v>
      </c>
      <c r="Y309">
        <f>IFERROR(VLOOKUP(Проливка[[#This Row],[ID]]*1,'Срок хранения'!A309:B407,2,0),0)</f>
        <v>0</v>
      </c>
      <c r="Z309">
        <f>IFERROR(VLOOKUP(Проливка[[#This Row],[ID]]*1,'Срок хранения'!A309:C407,3,0),0)</f>
        <v>0</v>
      </c>
    </row>
    <row r="310" spans="1:26" x14ac:dyDescent="0.25">
      <c r="A310" s="9"/>
      <c r="B310" s="12" t="str">
        <f t="shared" si="17"/>
        <v xml:space="preserve"> </v>
      </c>
      <c r="C310" s="10" t="str">
        <f t="shared" si="16"/>
        <v xml:space="preserve"> </v>
      </c>
      <c r="D310" s="10">
        <f t="shared" si="18"/>
        <v>0</v>
      </c>
      <c r="E310" s="10">
        <f t="shared" si="19"/>
        <v>0</v>
      </c>
      <c r="W310" t="str">
        <f>IFERROR(MID(Проливка[[#This Row],[Штрихкод ]],1,FIND("-",Проливка[[#This Row],[Штрихкод ]],1)-1)," ")</f>
        <v xml:space="preserve"> </v>
      </c>
      <c r="X310" t="str">
        <f>IFERROR(RIGHT(Проливка[[#This Row],[Штрихкод ]],LEN(Проливка[[#This Row],[Штрихкод ]])-SEARCH("-",Проливка[[#This Row],[Штрихкод ]],1))," ")</f>
        <v xml:space="preserve"> </v>
      </c>
      <c r="Y310">
        <f>IFERROR(VLOOKUP(Проливка[[#This Row],[ID]]*1,'Срок хранения'!A310:B408,2,0),0)</f>
        <v>0</v>
      </c>
      <c r="Z310">
        <f>IFERROR(VLOOKUP(Проливка[[#This Row],[ID]]*1,'Срок хранения'!A310:C408,3,0),0)</f>
        <v>0</v>
      </c>
    </row>
    <row r="311" spans="1:26" x14ac:dyDescent="0.25">
      <c r="A311" s="9"/>
      <c r="B311" s="12" t="str">
        <f t="shared" si="17"/>
        <v xml:space="preserve"> </v>
      </c>
      <c r="C311" s="10" t="str">
        <f t="shared" si="16"/>
        <v xml:space="preserve"> </v>
      </c>
      <c r="D311" s="10">
        <f t="shared" si="18"/>
        <v>0</v>
      </c>
      <c r="E311" s="10">
        <f t="shared" si="19"/>
        <v>0</v>
      </c>
      <c r="W311" t="str">
        <f>IFERROR(MID(Проливка[[#This Row],[Штрихкод ]],1,FIND("-",Проливка[[#This Row],[Штрихкод ]],1)-1)," ")</f>
        <v xml:space="preserve"> </v>
      </c>
      <c r="X311" t="str">
        <f>IFERROR(RIGHT(Проливка[[#This Row],[Штрихкод ]],LEN(Проливка[[#This Row],[Штрихкод ]])-SEARCH("-",Проливка[[#This Row],[Штрихкод ]],1))," ")</f>
        <v xml:space="preserve"> </v>
      </c>
      <c r="Y311">
        <f>IFERROR(VLOOKUP(Проливка[[#This Row],[ID]]*1,'Срок хранения'!A311:B409,2,0),0)</f>
        <v>0</v>
      </c>
      <c r="Z311">
        <f>IFERROR(VLOOKUP(Проливка[[#This Row],[ID]]*1,'Срок хранения'!A311:C409,3,0),0)</f>
        <v>0</v>
      </c>
    </row>
    <row r="312" spans="1:26" x14ac:dyDescent="0.25">
      <c r="A312" s="9"/>
      <c r="B312" s="12" t="str">
        <f t="shared" si="17"/>
        <v xml:space="preserve"> </v>
      </c>
      <c r="C312" s="10" t="str">
        <f t="shared" si="16"/>
        <v xml:space="preserve"> </v>
      </c>
      <c r="D312" s="10">
        <f t="shared" si="18"/>
        <v>0</v>
      </c>
      <c r="E312" s="10">
        <f t="shared" si="19"/>
        <v>0</v>
      </c>
      <c r="W312" t="str">
        <f>IFERROR(MID(Проливка[[#This Row],[Штрихкод ]],1,FIND("-",Проливка[[#This Row],[Штрихкод ]],1)-1)," ")</f>
        <v xml:space="preserve"> </v>
      </c>
      <c r="X312" t="str">
        <f>IFERROR(RIGHT(Проливка[[#This Row],[Штрихкод ]],LEN(Проливка[[#This Row],[Штрихкод ]])-SEARCH("-",Проливка[[#This Row],[Штрихкод ]],1))," ")</f>
        <v xml:space="preserve"> </v>
      </c>
      <c r="Y312">
        <f>IFERROR(VLOOKUP(Проливка[[#This Row],[ID]]*1,'Срок хранения'!A312:B410,2,0),0)</f>
        <v>0</v>
      </c>
      <c r="Z312">
        <f>IFERROR(VLOOKUP(Проливка[[#This Row],[ID]]*1,'Срок хранения'!A312:C410,3,0),0)</f>
        <v>0</v>
      </c>
    </row>
    <row r="313" spans="1:26" x14ac:dyDescent="0.25">
      <c r="A313" s="9"/>
      <c r="B313" s="12" t="str">
        <f t="shared" si="17"/>
        <v xml:space="preserve"> </v>
      </c>
      <c r="C313" s="10" t="str">
        <f t="shared" si="16"/>
        <v xml:space="preserve"> </v>
      </c>
      <c r="D313" s="10">
        <f t="shared" si="18"/>
        <v>0</v>
      </c>
      <c r="E313" s="10">
        <f t="shared" si="19"/>
        <v>0</v>
      </c>
      <c r="W313" t="str">
        <f>IFERROR(MID(Проливка[[#This Row],[Штрихкод ]],1,FIND("-",Проливка[[#This Row],[Штрихкод ]],1)-1)," ")</f>
        <v xml:space="preserve"> </v>
      </c>
      <c r="X313" t="str">
        <f>IFERROR(RIGHT(Проливка[[#This Row],[Штрихкод ]],LEN(Проливка[[#This Row],[Штрихкод ]])-SEARCH("-",Проливка[[#This Row],[Штрихкод ]],1))," ")</f>
        <v xml:space="preserve"> </v>
      </c>
      <c r="Y313">
        <f>IFERROR(VLOOKUP(Проливка[[#This Row],[ID]]*1,'Срок хранения'!A313:B411,2,0),0)</f>
        <v>0</v>
      </c>
      <c r="Z313">
        <f>IFERROR(VLOOKUP(Проливка[[#This Row],[ID]]*1,'Срок хранения'!A313:C411,3,0),0)</f>
        <v>0</v>
      </c>
    </row>
    <row r="314" spans="1:26" x14ac:dyDescent="0.25">
      <c r="A314" s="9"/>
      <c r="B314" s="12" t="str">
        <f t="shared" si="17"/>
        <v xml:space="preserve"> </v>
      </c>
      <c r="C314" s="10" t="str">
        <f t="shared" si="16"/>
        <v xml:space="preserve"> </v>
      </c>
      <c r="D314" s="10">
        <f t="shared" si="18"/>
        <v>0</v>
      </c>
      <c r="E314" s="10">
        <f t="shared" si="19"/>
        <v>0</v>
      </c>
      <c r="W314" t="str">
        <f>IFERROR(MID(Проливка[[#This Row],[Штрихкод ]],1,FIND("-",Проливка[[#This Row],[Штрихкод ]],1)-1)," ")</f>
        <v xml:space="preserve"> </v>
      </c>
      <c r="X314" t="str">
        <f>IFERROR(RIGHT(Проливка[[#This Row],[Штрихкод ]],LEN(Проливка[[#This Row],[Штрихкод ]])-SEARCH("-",Проливка[[#This Row],[Штрихкод ]],1))," ")</f>
        <v xml:space="preserve"> </v>
      </c>
      <c r="Y314">
        <f>IFERROR(VLOOKUP(Проливка[[#This Row],[ID]]*1,'Срок хранения'!A314:B412,2,0),0)</f>
        <v>0</v>
      </c>
      <c r="Z314">
        <f>IFERROR(VLOOKUP(Проливка[[#This Row],[ID]]*1,'Срок хранения'!A314:C412,3,0),0)</f>
        <v>0</v>
      </c>
    </row>
    <row r="315" spans="1:26" x14ac:dyDescent="0.25">
      <c r="A315" s="9"/>
      <c r="B315" s="12" t="str">
        <f t="shared" si="17"/>
        <v xml:space="preserve"> </v>
      </c>
      <c r="C315" s="10" t="str">
        <f t="shared" si="16"/>
        <v xml:space="preserve"> </v>
      </c>
      <c r="D315" s="10">
        <f t="shared" si="18"/>
        <v>0</v>
      </c>
      <c r="E315" s="10">
        <f t="shared" si="19"/>
        <v>0</v>
      </c>
      <c r="W315" t="str">
        <f>IFERROR(MID(Проливка[[#This Row],[Штрихкод ]],1,FIND("-",Проливка[[#This Row],[Штрихкод ]],1)-1)," ")</f>
        <v xml:space="preserve"> </v>
      </c>
      <c r="X315" t="str">
        <f>IFERROR(RIGHT(Проливка[[#This Row],[Штрихкод ]],LEN(Проливка[[#This Row],[Штрихкод ]])-SEARCH("-",Проливка[[#This Row],[Штрихкод ]],1))," ")</f>
        <v xml:space="preserve"> </v>
      </c>
      <c r="Y315">
        <f>IFERROR(VLOOKUP(Проливка[[#This Row],[ID]]*1,'Срок хранения'!A315:B413,2,0),0)</f>
        <v>0</v>
      </c>
      <c r="Z315">
        <f>IFERROR(VLOOKUP(Проливка[[#This Row],[ID]]*1,'Срок хранения'!A315:C413,3,0),0)</f>
        <v>0</v>
      </c>
    </row>
    <row r="316" spans="1:26" x14ac:dyDescent="0.25">
      <c r="A316" s="9"/>
      <c r="B316" s="12" t="str">
        <f t="shared" si="17"/>
        <v xml:space="preserve"> </v>
      </c>
      <c r="C316" s="10" t="str">
        <f t="shared" si="16"/>
        <v xml:space="preserve"> </v>
      </c>
      <c r="D316" s="10">
        <f t="shared" si="18"/>
        <v>0</v>
      </c>
      <c r="E316" s="10">
        <f t="shared" si="19"/>
        <v>0</v>
      </c>
      <c r="W316" t="str">
        <f>IFERROR(MID(Проливка[[#This Row],[Штрихкод ]],1,FIND("-",Проливка[[#This Row],[Штрихкод ]],1)-1)," ")</f>
        <v xml:space="preserve"> </v>
      </c>
      <c r="X316" t="str">
        <f>IFERROR(RIGHT(Проливка[[#This Row],[Штрихкод ]],LEN(Проливка[[#This Row],[Штрихкод ]])-SEARCH("-",Проливка[[#This Row],[Штрихкод ]],1))," ")</f>
        <v xml:space="preserve"> </v>
      </c>
      <c r="Y316">
        <f>IFERROR(VLOOKUP(Проливка[[#This Row],[ID]]*1,'Срок хранения'!A316:B414,2,0),0)</f>
        <v>0</v>
      </c>
      <c r="Z316">
        <f>IFERROR(VLOOKUP(Проливка[[#This Row],[ID]]*1,'Срок хранения'!A316:C414,3,0),0)</f>
        <v>0</v>
      </c>
    </row>
    <row r="317" spans="1:26" x14ac:dyDescent="0.25">
      <c r="A317" s="9"/>
      <c r="B317" s="12" t="str">
        <f t="shared" si="17"/>
        <v xml:space="preserve"> </v>
      </c>
      <c r="C317" s="10" t="str">
        <f t="shared" si="16"/>
        <v xml:space="preserve"> </v>
      </c>
      <c r="D317" s="10">
        <f t="shared" si="18"/>
        <v>0</v>
      </c>
      <c r="E317" s="10">
        <f t="shared" si="19"/>
        <v>0</v>
      </c>
      <c r="W317" t="str">
        <f>IFERROR(MID(Проливка[[#This Row],[Штрихкод ]],1,FIND("-",Проливка[[#This Row],[Штрихкод ]],1)-1)," ")</f>
        <v xml:space="preserve"> </v>
      </c>
      <c r="X317" t="str">
        <f>IFERROR(RIGHT(Проливка[[#This Row],[Штрихкод ]],LEN(Проливка[[#This Row],[Штрихкод ]])-SEARCH("-",Проливка[[#This Row],[Штрихкод ]],1))," ")</f>
        <v xml:space="preserve"> </v>
      </c>
      <c r="Y317">
        <f>IFERROR(VLOOKUP(Проливка[[#This Row],[ID]]*1,'Срок хранения'!A317:B415,2,0),0)</f>
        <v>0</v>
      </c>
      <c r="Z317">
        <f>IFERROR(VLOOKUP(Проливка[[#This Row],[ID]]*1,'Срок хранения'!A317:C415,3,0),0)</f>
        <v>0</v>
      </c>
    </row>
    <row r="318" spans="1:26" x14ac:dyDescent="0.25">
      <c r="A318" s="9"/>
      <c r="B318" s="12" t="str">
        <f t="shared" si="17"/>
        <v xml:space="preserve"> </v>
      </c>
      <c r="C318" s="10" t="str">
        <f t="shared" si="16"/>
        <v xml:space="preserve"> </v>
      </c>
      <c r="D318" s="10">
        <f t="shared" si="18"/>
        <v>0</v>
      </c>
      <c r="E318" s="10">
        <f t="shared" si="19"/>
        <v>0</v>
      </c>
      <c r="W318" t="str">
        <f>IFERROR(MID(Проливка[[#This Row],[Штрихкод ]],1,FIND("-",Проливка[[#This Row],[Штрихкод ]],1)-1)," ")</f>
        <v xml:space="preserve"> </v>
      </c>
      <c r="X318" t="str">
        <f>IFERROR(RIGHT(Проливка[[#This Row],[Штрихкод ]],LEN(Проливка[[#This Row],[Штрихкод ]])-SEARCH("-",Проливка[[#This Row],[Штрихкод ]],1))," ")</f>
        <v xml:space="preserve"> </v>
      </c>
      <c r="Y318">
        <f>IFERROR(VLOOKUP(Проливка[[#This Row],[ID]]*1,'Срок хранения'!A318:B416,2,0),0)</f>
        <v>0</v>
      </c>
      <c r="Z318">
        <f>IFERROR(VLOOKUP(Проливка[[#This Row],[ID]]*1,'Срок хранения'!A318:C416,3,0),0)</f>
        <v>0</v>
      </c>
    </row>
    <row r="319" spans="1:26" x14ac:dyDescent="0.25">
      <c r="A319" s="9"/>
      <c r="B319" s="12" t="str">
        <f t="shared" si="17"/>
        <v xml:space="preserve"> </v>
      </c>
      <c r="C319" s="10" t="str">
        <f t="shared" si="16"/>
        <v xml:space="preserve"> </v>
      </c>
      <c r="D319" s="10">
        <f t="shared" si="18"/>
        <v>0</v>
      </c>
      <c r="E319" s="10">
        <f t="shared" si="19"/>
        <v>0</v>
      </c>
      <c r="W319" t="str">
        <f>IFERROR(MID(Проливка[[#This Row],[Штрихкод ]],1,FIND("-",Проливка[[#This Row],[Штрихкод ]],1)-1)," ")</f>
        <v xml:space="preserve"> </v>
      </c>
      <c r="X319" t="str">
        <f>IFERROR(RIGHT(Проливка[[#This Row],[Штрихкод ]],LEN(Проливка[[#This Row],[Штрихкод ]])-SEARCH("-",Проливка[[#This Row],[Штрихкод ]],1))," ")</f>
        <v xml:space="preserve"> </v>
      </c>
      <c r="Y319">
        <f>IFERROR(VLOOKUP(Проливка[[#This Row],[ID]]*1,'Срок хранения'!A319:B417,2,0),0)</f>
        <v>0</v>
      </c>
      <c r="Z319">
        <f>IFERROR(VLOOKUP(Проливка[[#This Row],[ID]]*1,'Срок хранения'!A319:C417,3,0),0)</f>
        <v>0</v>
      </c>
    </row>
    <row r="320" spans="1:26" x14ac:dyDescent="0.25">
      <c r="A320" s="9"/>
      <c r="B320" s="12" t="str">
        <f t="shared" si="17"/>
        <v xml:space="preserve"> </v>
      </c>
      <c r="C320" s="10" t="str">
        <f t="shared" si="16"/>
        <v xml:space="preserve"> </v>
      </c>
      <c r="D320" s="10">
        <f t="shared" si="18"/>
        <v>0</v>
      </c>
      <c r="E320" s="10">
        <f t="shared" si="19"/>
        <v>0</v>
      </c>
      <c r="W320" t="str">
        <f>IFERROR(MID(Проливка[[#This Row],[Штрихкод ]],1,FIND("-",Проливка[[#This Row],[Штрихкод ]],1)-1)," ")</f>
        <v xml:space="preserve"> </v>
      </c>
      <c r="X320" t="str">
        <f>IFERROR(RIGHT(Проливка[[#This Row],[Штрихкод ]],LEN(Проливка[[#This Row],[Штрихкод ]])-SEARCH("-",Проливка[[#This Row],[Штрихкод ]],1))," ")</f>
        <v xml:space="preserve"> </v>
      </c>
      <c r="Y320">
        <f>IFERROR(VLOOKUP(Проливка[[#This Row],[ID]]*1,'Срок хранения'!A320:B418,2,0),0)</f>
        <v>0</v>
      </c>
      <c r="Z320">
        <f>IFERROR(VLOOKUP(Проливка[[#This Row],[ID]]*1,'Срок хранения'!A320:C418,3,0),0)</f>
        <v>0</v>
      </c>
    </row>
    <row r="321" spans="1:26" x14ac:dyDescent="0.25">
      <c r="A321" s="9"/>
      <c r="B321" s="12" t="str">
        <f t="shared" si="17"/>
        <v xml:space="preserve"> </v>
      </c>
      <c r="C321" s="10" t="str">
        <f t="shared" si="16"/>
        <v xml:space="preserve"> </v>
      </c>
      <c r="D321" s="10">
        <f t="shared" si="18"/>
        <v>0</v>
      </c>
      <c r="E321" s="10">
        <f t="shared" si="19"/>
        <v>0</v>
      </c>
      <c r="W321" t="str">
        <f>IFERROR(MID(Проливка[[#This Row],[Штрихкод ]],1,FIND("-",Проливка[[#This Row],[Штрихкод ]],1)-1)," ")</f>
        <v xml:space="preserve"> </v>
      </c>
      <c r="X321" t="str">
        <f>IFERROR(RIGHT(Проливка[[#This Row],[Штрихкод ]],LEN(Проливка[[#This Row],[Штрихкод ]])-SEARCH("-",Проливка[[#This Row],[Штрихкод ]],1))," ")</f>
        <v xml:space="preserve"> </v>
      </c>
      <c r="Y321">
        <f>IFERROR(VLOOKUP(Проливка[[#This Row],[ID]]*1,'Срок хранения'!A321:B419,2,0),0)</f>
        <v>0</v>
      </c>
      <c r="Z321">
        <f>IFERROR(VLOOKUP(Проливка[[#This Row],[ID]]*1,'Срок хранения'!A321:C419,3,0),0)</f>
        <v>0</v>
      </c>
    </row>
    <row r="322" spans="1:26" x14ac:dyDescent="0.25">
      <c r="A322" s="9"/>
      <c r="B322" s="12" t="str">
        <f t="shared" si="17"/>
        <v xml:space="preserve"> </v>
      </c>
      <c r="C322" s="10" t="str">
        <f t="shared" ref="C322:C385" si="20">X322</f>
        <v xml:space="preserve"> </v>
      </c>
      <c r="D322" s="10">
        <f t="shared" si="18"/>
        <v>0</v>
      </c>
      <c r="E322" s="10">
        <f t="shared" si="19"/>
        <v>0</v>
      </c>
      <c r="W322" t="str">
        <f>IFERROR(MID(Проливка[[#This Row],[Штрихкод ]],1,FIND("-",Проливка[[#This Row],[Штрихкод ]],1)-1)," ")</f>
        <v xml:space="preserve"> </v>
      </c>
      <c r="X322" t="str">
        <f>IFERROR(RIGHT(Проливка[[#This Row],[Штрихкод ]],LEN(Проливка[[#This Row],[Штрихкод ]])-SEARCH("-",Проливка[[#This Row],[Штрихкод ]],1))," ")</f>
        <v xml:space="preserve"> </v>
      </c>
      <c r="Y322">
        <f>IFERROR(VLOOKUP(Проливка[[#This Row],[ID]]*1,'Срок хранения'!A322:B420,2,0),0)</f>
        <v>0</v>
      </c>
      <c r="Z322">
        <f>IFERROR(VLOOKUP(Проливка[[#This Row],[ID]]*1,'Срок хранения'!A322:C420,3,0),0)</f>
        <v>0</v>
      </c>
    </row>
    <row r="323" spans="1:26" x14ac:dyDescent="0.25">
      <c r="A323" s="9"/>
      <c r="B323" s="12" t="str">
        <f t="shared" ref="B323:B386" si="21">W323</f>
        <v xml:space="preserve"> </v>
      </c>
      <c r="C323" s="10" t="str">
        <f t="shared" si="20"/>
        <v xml:space="preserve"> </v>
      </c>
      <c r="D323" s="10">
        <f t="shared" ref="D323:D386" si="22">Y323</f>
        <v>0</v>
      </c>
      <c r="E323" s="10">
        <f t="shared" ref="E323:E386" si="23">Z323</f>
        <v>0</v>
      </c>
      <c r="W323" t="str">
        <f>IFERROR(MID(Проливка[[#This Row],[Штрихкод ]],1,FIND("-",Проливка[[#This Row],[Штрихкод ]],1)-1)," ")</f>
        <v xml:space="preserve"> </v>
      </c>
      <c r="X323" t="str">
        <f>IFERROR(RIGHT(Проливка[[#This Row],[Штрихкод ]],LEN(Проливка[[#This Row],[Штрихкод ]])-SEARCH("-",Проливка[[#This Row],[Штрихкод ]],1))," ")</f>
        <v xml:space="preserve"> </v>
      </c>
      <c r="Y323">
        <f>IFERROR(VLOOKUP(Проливка[[#This Row],[ID]]*1,'Срок хранения'!A323:B421,2,0),0)</f>
        <v>0</v>
      </c>
      <c r="Z323">
        <f>IFERROR(VLOOKUP(Проливка[[#This Row],[ID]]*1,'Срок хранения'!A323:C421,3,0),0)</f>
        <v>0</v>
      </c>
    </row>
    <row r="324" spans="1:26" x14ac:dyDescent="0.25">
      <c r="A324" s="9"/>
      <c r="B324" s="12" t="str">
        <f t="shared" si="21"/>
        <v xml:space="preserve"> </v>
      </c>
      <c r="C324" s="10" t="str">
        <f t="shared" si="20"/>
        <v xml:space="preserve"> </v>
      </c>
      <c r="D324" s="10">
        <f t="shared" si="22"/>
        <v>0</v>
      </c>
      <c r="E324" s="10">
        <f t="shared" si="23"/>
        <v>0</v>
      </c>
      <c r="W324" t="str">
        <f>IFERROR(MID(Проливка[[#This Row],[Штрихкод ]],1,FIND("-",Проливка[[#This Row],[Штрихкод ]],1)-1)," ")</f>
        <v xml:space="preserve"> </v>
      </c>
      <c r="X324" t="str">
        <f>IFERROR(RIGHT(Проливка[[#This Row],[Штрихкод ]],LEN(Проливка[[#This Row],[Штрихкод ]])-SEARCH("-",Проливка[[#This Row],[Штрихкод ]],1))," ")</f>
        <v xml:space="preserve"> </v>
      </c>
      <c r="Y324">
        <f>IFERROR(VLOOKUP(Проливка[[#This Row],[ID]]*1,'Срок хранения'!A324:B422,2,0),0)</f>
        <v>0</v>
      </c>
      <c r="Z324">
        <f>IFERROR(VLOOKUP(Проливка[[#This Row],[ID]]*1,'Срок хранения'!A324:C422,3,0),0)</f>
        <v>0</v>
      </c>
    </row>
    <row r="325" spans="1:26" x14ac:dyDescent="0.25">
      <c r="A325" s="9"/>
      <c r="B325" s="12" t="str">
        <f t="shared" si="21"/>
        <v xml:space="preserve"> </v>
      </c>
      <c r="C325" s="10" t="str">
        <f t="shared" si="20"/>
        <v xml:space="preserve"> </v>
      </c>
      <c r="D325" s="10">
        <f t="shared" si="22"/>
        <v>0</v>
      </c>
      <c r="E325" s="10">
        <f t="shared" si="23"/>
        <v>0</v>
      </c>
      <c r="W325" t="str">
        <f>IFERROR(MID(Проливка[[#This Row],[Штрихкод ]],1,FIND("-",Проливка[[#This Row],[Штрихкод ]],1)-1)," ")</f>
        <v xml:space="preserve"> </v>
      </c>
      <c r="X325" t="str">
        <f>IFERROR(RIGHT(Проливка[[#This Row],[Штрихкод ]],LEN(Проливка[[#This Row],[Штрихкод ]])-SEARCH("-",Проливка[[#This Row],[Штрихкод ]],1))," ")</f>
        <v xml:space="preserve"> </v>
      </c>
      <c r="Y325">
        <f>IFERROR(VLOOKUP(Проливка[[#This Row],[ID]]*1,'Срок хранения'!A325:B423,2,0),0)</f>
        <v>0</v>
      </c>
      <c r="Z325">
        <f>IFERROR(VLOOKUP(Проливка[[#This Row],[ID]]*1,'Срок хранения'!A325:C423,3,0),0)</f>
        <v>0</v>
      </c>
    </row>
    <row r="326" spans="1:26" x14ac:dyDescent="0.25">
      <c r="A326" s="9"/>
      <c r="B326" s="12" t="str">
        <f t="shared" si="21"/>
        <v xml:space="preserve"> </v>
      </c>
      <c r="C326" s="10" t="str">
        <f t="shared" si="20"/>
        <v xml:space="preserve"> </v>
      </c>
      <c r="D326" s="10">
        <f t="shared" si="22"/>
        <v>0</v>
      </c>
      <c r="E326" s="10">
        <f t="shared" si="23"/>
        <v>0</v>
      </c>
      <c r="W326" t="str">
        <f>IFERROR(MID(Проливка[[#This Row],[Штрихкод ]],1,FIND("-",Проливка[[#This Row],[Штрихкод ]],1)-1)," ")</f>
        <v xml:space="preserve"> </v>
      </c>
      <c r="X326" t="str">
        <f>IFERROR(RIGHT(Проливка[[#This Row],[Штрихкод ]],LEN(Проливка[[#This Row],[Штрихкод ]])-SEARCH("-",Проливка[[#This Row],[Штрихкод ]],1))," ")</f>
        <v xml:space="preserve"> </v>
      </c>
      <c r="Y326">
        <f>IFERROR(VLOOKUP(Проливка[[#This Row],[ID]]*1,'Срок хранения'!A326:B424,2,0),0)</f>
        <v>0</v>
      </c>
      <c r="Z326">
        <f>IFERROR(VLOOKUP(Проливка[[#This Row],[ID]]*1,'Срок хранения'!A326:C424,3,0),0)</f>
        <v>0</v>
      </c>
    </row>
    <row r="327" spans="1:26" x14ac:dyDescent="0.25">
      <c r="A327" s="9"/>
      <c r="B327" s="12" t="str">
        <f t="shared" si="21"/>
        <v xml:space="preserve"> </v>
      </c>
      <c r="C327" s="10" t="str">
        <f t="shared" si="20"/>
        <v xml:space="preserve"> </v>
      </c>
      <c r="D327" s="10">
        <f t="shared" si="22"/>
        <v>0</v>
      </c>
      <c r="E327" s="10">
        <f t="shared" si="23"/>
        <v>0</v>
      </c>
      <c r="W327" t="str">
        <f>IFERROR(MID(Проливка[[#This Row],[Штрихкод ]],1,FIND("-",Проливка[[#This Row],[Штрихкод ]],1)-1)," ")</f>
        <v xml:space="preserve"> </v>
      </c>
      <c r="X327" t="str">
        <f>IFERROR(RIGHT(Проливка[[#This Row],[Штрихкод ]],LEN(Проливка[[#This Row],[Штрихкод ]])-SEARCH("-",Проливка[[#This Row],[Штрихкод ]],1))," ")</f>
        <v xml:space="preserve"> </v>
      </c>
      <c r="Y327">
        <f>IFERROR(VLOOKUP(Проливка[[#This Row],[ID]]*1,'Срок хранения'!A327:B425,2,0),0)</f>
        <v>0</v>
      </c>
      <c r="Z327">
        <f>IFERROR(VLOOKUP(Проливка[[#This Row],[ID]]*1,'Срок хранения'!A327:C425,3,0),0)</f>
        <v>0</v>
      </c>
    </row>
    <row r="328" spans="1:26" x14ac:dyDescent="0.25">
      <c r="A328" s="9"/>
      <c r="B328" s="12" t="str">
        <f t="shared" si="21"/>
        <v xml:space="preserve"> </v>
      </c>
      <c r="C328" s="10" t="str">
        <f t="shared" si="20"/>
        <v xml:space="preserve"> </v>
      </c>
      <c r="D328" s="10">
        <f t="shared" si="22"/>
        <v>0</v>
      </c>
      <c r="E328" s="10">
        <f t="shared" si="23"/>
        <v>0</v>
      </c>
      <c r="W328" t="str">
        <f>IFERROR(MID(Проливка[[#This Row],[Штрихкод ]],1,FIND("-",Проливка[[#This Row],[Штрихкод ]],1)-1)," ")</f>
        <v xml:space="preserve"> </v>
      </c>
      <c r="X328" t="str">
        <f>IFERROR(RIGHT(Проливка[[#This Row],[Штрихкод ]],LEN(Проливка[[#This Row],[Штрихкод ]])-SEARCH("-",Проливка[[#This Row],[Штрихкод ]],1))," ")</f>
        <v xml:space="preserve"> </v>
      </c>
      <c r="Y328">
        <f>IFERROR(VLOOKUP(Проливка[[#This Row],[ID]]*1,'Срок хранения'!A328:B426,2,0),0)</f>
        <v>0</v>
      </c>
      <c r="Z328">
        <f>IFERROR(VLOOKUP(Проливка[[#This Row],[ID]]*1,'Срок хранения'!A328:C426,3,0),0)</f>
        <v>0</v>
      </c>
    </row>
    <row r="329" spans="1:26" x14ac:dyDescent="0.25">
      <c r="A329" s="9"/>
      <c r="B329" s="12" t="str">
        <f t="shared" si="21"/>
        <v xml:space="preserve"> </v>
      </c>
      <c r="C329" s="10" t="str">
        <f t="shared" si="20"/>
        <v xml:space="preserve"> </v>
      </c>
      <c r="D329" s="10">
        <f t="shared" si="22"/>
        <v>0</v>
      </c>
      <c r="E329" s="10">
        <f t="shared" si="23"/>
        <v>0</v>
      </c>
      <c r="W329" t="str">
        <f>IFERROR(MID(Проливка[[#This Row],[Штрихкод ]],1,FIND("-",Проливка[[#This Row],[Штрихкод ]],1)-1)," ")</f>
        <v xml:space="preserve"> </v>
      </c>
      <c r="X329" t="str">
        <f>IFERROR(RIGHT(Проливка[[#This Row],[Штрихкод ]],LEN(Проливка[[#This Row],[Штрихкод ]])-SEARCH("-",Проливка[[#This Row],[Штрихкод ]],1))," ")</f>
        <v xml:space="preserve"> </v>
      </c>
      <c r="Y329">
        <f>IFERROR(VLOOKUP(Проливка[[#This Row],[ID]]*1,'Срок хранения'!A329:B427,2,0),0)</f>
        <v>0</v>
      </c>
      <c r="Z329">
        <f>IFERROR(VLOOKUP(Проливка[[#This Row],[ID]]*1,'Срок хранения'!A329:C427,3,0),0)</f>
        <v>0</v>
      </c>
    </row>
    <row r="330" spans="1:26" x14ac:dyDescent="0.25">
      <c r="A330" s="9"/>
      <c r="B330" s="12" t="str">
        <f t="shared" si="21"/>
        <v xml:space="preserve"> </v>
      </c>
      <c r="C330" s="10" t="str">
        <f t="shared" si="20"/>
        <v xml:space="preserve"> </v>
      </c>
      <c r="D330" s="10">
        <f t="shared" si="22"/>
        <v>0</v>
      </c>
      <c r="E330" s="10">
        <f t="shared" si="23"/>
        <v>0</v>
      </c>
      <c r="W330" t="str">
        <f>IFERROR(MID(Проливка[[#This Row],[Штрихкод ]],1,FIND("-",Проливка[[#This Row],[Штрихкод ]],1)-1)," ")</f>
        <v xml:space="preserve"> </v>
      </c>
      <c r="X330" t="str">
        <f>IFERROR(RIGHT(Проливка[[#This Row],[Штрихкод ]],LEN(Проливка[[#This Row],[Штрихкод ]])-SEARCH("-",Проливка[[#This Row],[Штрихкод ]],1))," ")</f>
        <v xml:space="preserve"> </v>
      </c>
      <c r="Y330">
        <f>IFERROR(VLOOKUP(Проливка[[#This Row],[ID]]*1,'Срок хранения'!A330:B428,2,0),0)</f>
        <v>0</v>
      </c>
      <c r="Z330">
        <f>IFERROR(VLOOKUP(Проливка[[#This Row],[ID]]*1,'Срок хранения'!A330:C428,3,0),0)</f>
        <v>0</v>
      </c>
    </row>
    <row r="331" spans="1:26" x14ac:dyDescent="0.25">
      <c r="A331" s="9"/>
      <c r="B331" s="12" t="str">
        <f t="shared" si="21"/>
        <v xml:space="preserve"> </v>
      </c>
      <c r="C331" s="10" t="str">
        <f t="shared" si="20"/>
        <v xml:space="preserve"> </v>
      </c>
      <c r="D331" s="10">
        <f t="shared" si="22"/>
        <v>0</v>
      </c>
      <c r="E331" s="10">
        <f t="shared" si="23"/>
        <v>0</v>
      </c>
      <c r="W331" t="str">
        <f>IFERROR(MID(Проливка[[#This Row],[Штрихкод ]],1,FIND("-",Проливка[[#This Row],[Штрихкод ]],1)-1)," ")</f>
        <v xml:space="preserve"> </v>
      </c>
      <c r="X331" t="str">
        <f>IFERROR(RIGHT(Проливка[[#This Row],[Штрихкод ]],LEN(Проливка[[#This Row],[Штрихкод ]])-SEARCH("-",Проливка[[#This Row],[Штрихкод ]],1))," ")</f>
        <v xml:space="preserve"> </v>
      </c>
      <c r="Y331">
        <f>IFERROR(VLOOKUP(Проливка[[#This Row],[ID]]*1,'Срок хранения'!A331:B429,2,0),0)</f>
        <v>0</v>
      </c>
      <c r="Z331">
        <f>IFERROR(VLOOKUP(Проливка[[#This Row],[ID]]*1,'Срок хранения'!A331:C429,3,0),0)</f>
        <v>0</v>
      </c>
    </row>
    <row r="332" spans="1:26" x14ac:dyDescent="0.25">
      <c r="A332" s="9"/>
      <c r="B332" s="12" t="str">
        <f t="shared" si="21"/>
        <v xml:space="preserve"> </v>
      </c>
      <c r="C332" s="10" t="str">
        <f t="shared" si="20"/>
        <v xml:space="preserve"> </v>
      </c>
      <c r="D332" s="10">
        <f t="shared" si="22"/>
        <v>0</v>
      </c>
      <c r="E332" s="10">
        <f t="shared" si="23"/>
        <v>0</v>
      </c>
      <c r="W332" t="str">
        <f>IFERROR(MID(Проливка[[#This Row],[Штрихкод ]],1,FIND("-",Проливка[[#This Row],[Штрихкод ]],1)-1)," ")</f>
        <v xml:space="preserve"> </v>
      </c>
      <c r="X332" t="str">
        <f>IFERROR(RIGHT(Проливка[[#This Row],[Штрихкод ]],LEN(Проливка[[#This Row],[Штрихкод ]])-SEARCH("-",Проливка[[#This Row],[Штрихкод ]],1))," ")</f>
        <v xml:space="preserve"> </v>
      </c>
      <c r="Y332">
        <f>IFERROR(VLOOKUP(Проливка[[#This Row],[ID]]*1,'Срок хранения'!A332:B430,2,0),0)</f>
        <v>0</v>
      </c>
      <c r="Z332">
        <f>IFERROR(VLOOKUP(Проливка[[#This Row],[ID]]*1,'Срок хранения'!A332:C430,3,0),0)</f>
        <v>0</v>
      </c>
    </row>
    <row r="333" spans="1:26" x14ac:dyDescent="0.25">
      <c r="A333" s="9"/>
      <c r="B333" s="12" t="str">
        <f t="shared" si="21"/>
        <v xml:space="preserve"> </v>
      </c>
      <c r="C333" s="10" t="str">
        <f t="shared" si="20"/>
        <v xml:space="preserve"> </v>
      </c>
      <c r="D333" s="10">
        <f t="shared" si="22"/>
        <v>0</v>
      </c>
      <c r="E333" s="10">
        <f t="shared" si="23"/>
        <v>0</v>
      </c>
      <c r="W333" t="str">
        <f>IFERROR(MID(Проливка[[#This Row],[Штрихкод ]],1,FIND("-",Проливка[[#This Row],[Штрихкод ]],1)-1)," ")</f>
        <v xml:space="preserve"> </v>
      </c>
      <c r="X333" t="str">
        <f>IFERROR(RIGHT(Проливка[[#This Row],[Штрихкод ]],LEN(Проливка[[#This Row],[Штрихкод ]])-SEARCH("-",Проливка[[#This Row],[Штрихкод ]],1))," ")</f>
        <v xml:space="preserve"> </v>
      </c>
      <c r="Y333">
        <f>IFERROR(VLOOKUP(Проливка[[#This Row],[ID]]*1,'Срок хранения'!A333:B431,2,0),0)</f>
        <v>0</v>
      </c>
      <c r="Z333">
        <f>IFERROR(VLOOKUP(Проливка[[#This Row],[ID]]*1,'Срок хранения'!A333:C431,3,0),0)</f>
        <v>0</v>
      </c>
    </row>
    <row r="334" spans="1:26" x14ac:dyDescent="0.25">
      <c r="A334" s="9"/>
      <c r="B334" s="12" t="str">
        <f t="shared" si="21"/>
        <v xml:space="preserve"> </v>
      </c>
      <c r="C334" s="10" t="str">
        <f t="shared" si="20"/>
        <v xml:space="preserve"> </v>
      </c>
      <c r="D334" s="10">
        <f t="shared" si="22"/>
        <v>0</v>
      </c>
      <c r="E334" s="10">
        <f t="shared" si="23"/>
        <v>0</v>
      </c>
      <c r="W334" t="str">
        <f>IFERROR(MID(Проливка[[#This Row],[Штрихкод ]],1,FIND("-",Проливка[[#This Row],[Штрихкод ]],1)-1)," ")</f>
        <v xml:space="preserve"> </v>
      </c>
      <c r="X334" t="str">
        <f>IFERROR(RIGHT(Проливка[[#This Row],[Штрихкод ]],LEN(Проливка[[#This Row],[Штрихкод ]])-SEARCH("-",Проливка[[#This Row],[Штрихкод ]],1))," ")</f>
        <v xml:space="preserve"> </v>
      </c>
      <c r="Y334">
        <f>IFERROR(VLOOKUP(Проливка[[#This Row],[ID]]*1,'Срок хранения'!A334:B432,2,0),0)</f>
        <v>0</v>
      </c>
      <c r="Z334">
        <f>IFERROR(VLOOKUP(Проливка[[#This Row],[ID]]*1,'Срок хранения'!A334:C432,3,0),0)</f>
        <v>0</v>
      </c>
    </row>
    <row r="335" spans="1:26" x14ac:dyDescent="0.25">
      <c r="A335" s="9"/>
      <c r="B335" s="12" t="str">
        <f t="shared" si="21"/>
        <v xml:space="preserve"> </v>
      </c>
      <c r="C335" s="10" t="str">
        <f t="shared" si="20"/>
        <v xml:space="preserve"> </v>
      </c>
      <c r="D335" s="10">
        <f t="shared" si="22"/>
        <v>0</v>
      </c>
      <c r="E335" s="10">
        <f t="shared" si="23"/>
        <v>0</v>
      </c>
      <c r="W335" t="str">
        <f>IFERROR(MID(Проливка[[#This Row],[Штрихкод ]],1,FIND("-",Проливка[[#This Row],[Штрихкод ]],1)-1)," ")</f>
        <v xml:space="preserve"> </v>
      </c>
      <c r="X335" t="str">
        <f>IFERROR(RIGHT(Проливка[[#This Row],[Штрихкод ]],LEN(Проливка[[#This Row],[Штрихкод ]])-SEARCH("-",Проливка[[#This Row],[Штрихкод ]],1))," ")</f>
        <v xml:space="preserve"> </v>
      </c>
      <c r="Y335">
        <f>IFERROR(VLOOKUP(Проливка[[#This Row],[ID]]*1,'Срок хранения'!A335:B433,2,0),0)</f>
        <v>0</v>
      </c>
      <c r="Z335">
        <f>IFERROR(VLOOKUP(Проливка[[#This Row],[ID]]*1,'Срок хранения'!A335:C433,3,0),0)</f>
        <v>0</v>
      </c>
    </row>
    <row r="336" spans="1:26" x14ac:dyDescent="0.25">
      <c r="A336" s="9"/>
      <c r="B336" s="12" t="str">
        <f t="shared" si="21"/>
        <v xml:space="preserve"> </v>
      </c>
      <c r="C336" s="10" t="str">
        <f t="shared" si="20"/>
        <v xml:space="preserve"> </v>
      </c>
      <c r="D336" s="10">
        <f t="shared" si="22"/>
        <v>0</v>
      </c>
      <c r="E336" s="10">
        <f t="shared" si="23"/>
        <v>0</v>
      </c>
      <c r="W336" t="str">
        <f>IFERROR(MID(Проливка[[#This Row],[Штрихкод ]],1,FIND("-",Проливка[[#This Row],[Штрихкод ]],1)-1)," ")</f>
        <v xml:space="preserve"> </v>
      </c>
      <c r="X336" t="str">
        <f>IFERROR(RIGHT(Проливка[[#This Row],[Штрихкод ]],LEN(Проливка[[#This Row],[Штрихкод ]])-SEARCH("-",Проливка[[#This Row],[Штрихкод ]],1))," ")</f>
        <v xml:space="preserve"> </v>
      </c>
      <c r="Y336">
        <f>IFERROR(VLOOKUP(Проливка[[#This Row],[ID]]*1,'Срок хранения'!A336:B434,2,0),0)</f>
        <v>0</v>
      </c>
      <c r="Z336">
        <f>IFERROR(VLOOKUP(Проливка[[#This Row],[ID]]*1,'Срок хранения'!A336:C434,3,0),0)</f>
        <v>0</v>
      </c>
    </row>
    <row r="337" spans="1:26" x14ac:dyDescent="0.25">
      <c r="A337" s="9"/>
      <c r="B337" s="12" t="str">
        <f t="shared" si="21"/>
        <v xml:space="preserve"> </v>
      </c>
      <c r="C337" s="10" t="str">
        <f t="shared" si="20"/>
        <v xml:space="preserve"> </v>
      </c>
      <c r="D337" s="10">
        <f t="shared" si="22"/>
        <v>0</v>
      </c>
      <c r="E337" s="10">
        <f t="shared" si="23"/>
        <v>0</v>
      </c>
      <c r="W337" t="str">
        <f>IFERROR(MID(Проливка[[#This Row],[Штрихкод ]],1,FIND("-",Проливка[[#This Row],[Штрихкод ]],1)-1)," ")</f>
        <v xml:space="preserve"> </v>
      </c>
      <c r="X337" t="str">
        <f>IFERROR(RIGHT(Проливка[[#This Row],[Штрихкод ]],LEN(Проливка[[#This Row],[Штрихкод ]])-SEARCH("-",Проливка[[#This Row],[Штрихкод ]],1))," ")</f>
        <v xml:space="preserve"> </v>
      </c>
      <c r="Y337">
        <f>IFERROR(VLOOKUP(Проливка[[#This Row],[ID]]*1,'Срок хранения'!A337:B435,2,0),0)</f>
        <v>0</v>
      </c>
      <c r="Z337">
        <f>IFERROR(VLOOKUP(Проливка[[#This Row],[ID]]*1,'Срок хранения'!A337:C435,3,0),0)</f>
        <v>0</v>
      </c>
    </row>
    <row r="338" spans="1:26" x14ac:dyDescent="0.25">
      <c r="A338" s="9"/>
      <c r="B338" s="12" t="str">
        <f t="shared" si="21"/>
        <v xml:space="preserve"> </v>
      </c>
      <c r="C338" s="10" t="str">
        <f t="shared" si="20"/>
        <v xml:space="preserve"> </v>
      </c>
      <c r="D338" s="10">
        <f t="shared" si="22"/>
        <v>0</v>
      </c>
      <c r="E338" s="10">
        <f t="shared" si="23"/>
        <v>0</v>
      </c>
      <c r="W338" t="str">
        <f>IFERROR(MID(Проливка[[#This Row],[Штрихкод ]],1,FIND("-",Проливка[[#This Row],[Штрихкод ]],1)-1)," ")</f>
        <v xml:space="preserve"> </v>
      </c>
      <c r="X338" t="str">
        <f>IFERROR(RIGHT(Проливка[[#This Row],[Штрихкод ]],LEN(Проливка[[#This Row],[Штрихкод ]])-SEARCH("-",Проливка[[#This Row],[Штрихкод ]],1))," ")</f>
        <v xml:space="preserve"> </v>
      </c>
      <c r="Y338">
        <f>IFERROR(VLOOKUP(Проливка[[#This Row],[ID]]*1,'Срок хранения'!A338:B436,2,0),0)</f>
        <v>0</v>
      </c>
      <c r="Z338">
        <f>IFERROR(VLOOKUP(Проливка[[#This Row],[ID]]*1,'Срок хранения'!A338:C436,3,0),0)</f>
        <v>0</v>
      </c>
    </row>
    <row r="339" spans="1:26" x14ac:dyDescent="0.25">
      <c r="A339" s="9"/>
      <c r="B339" s="12" t="str">
        <f t="shared" si="21"/>
        <v xml:space="preserve"> </v>
      </c>
      <c r="C339" s="10" t="str">
        <f t="shared" si="20"/>
        <v xml:space="preserve"> </v>
      </c>
      <c r="D339" s="10">
        <f t="shared" si="22"/>
        <v>0</v>
      </c>
      <c r="E339" s="10">
        <f t="shared" si="23"/>
        <v>0</v>
      </c>
      <c r="W339" t="str">
        <f>IFERROR(MID(Проливка[[#This Row],[Штрихкод ]],1,FIND("-",Проливка[[#This Row],[Штрихкод ]],1)-1)," ")</f>
        <v xml:space="preserve"> </v>
      </c>
      <c r="X339" t="str">
        <f>IFERROR(RIGHT(Проливка[[#This Row],[Штрихкод ]],LEN(Проливка[[#This Row],[Штрихкод ]])-SEARCH("-",Проливка[[#This Row],[Штрихкод ]],1))," ")</f>
        <v xml:space="preserve"> </v>
      </c>
      <c r="Y339">
        <f>IFERROR(VLOOKUP(Проливка[[#This Row],[ID]]*1,'Срок хранения'!A339:B437,2,0),0)</f>
        <v>0</v>
      </c>
      <c r="Z339">
        <f>IFERROR(VLOOKUP(Проливка[[#This Row],[ID]]*1,'Срок хранения'!A339:C437,3,0),0)</f>
        <v>0</v>
      </c>
    </row>
    <row r="340" spans="1:26" x14ac:dyDescent="0.25">
      <c r="A340" s="9"/>
      <c r="B340" s="12" t="str">
        <f t="shared" si="21"/>
        <v xml:space="preserve"> </v>
      </c>
      <c r="C340" s="10" t="str">
        <f t="shared" si="20"/>
        <v xml:space="preserve"> </v>
      </c>
      <c r="D340" s="10">
        <f t="shared" si="22"/>
        <v>0</v>
      </c>
      <c r="E340" s="10">
        <f t="shared" si="23"/>
        <v>0</v>
      </c>
      <c r="W340" t="str">
        <f>IFERROR(MID(Проливка[[#This Row],[Штрихкод ]],1,FIND("-",Проливка[[#This Row],[Штрихкод ]],1)-1)," ")</f>
        <v xml:space="preserve"> </v>
      </c>
      <c r="X340" t="str">
        <f>IFERROR(RIGHT(Проливка[[#This Row],[Штрихкод ]],LEN(Проливка[[#This Row],[Штрихкод ]])-SEARCH("-",Проливка[[#This Row],[Штрихкод ]],1))," ")</f>
        <v xml:space="preserve"> </v>
      </c>
      <c r="Y340">
        <f>IFERROR(VLOOKUP(Проливка[[#This Row],[ID]]*1,'Срок хранения'!A340:B438,2,0),0)</f>
        <v>0</v>
      </c>
      <c r="Z340">
        <f>IFERROR(VLOOKUP(Проливка[[#This Row],[ID]]*1,'Срок хранения'!A340:C438,3,0),0)</f>
        <v>0</v>
      </c>
    </row>
    <row r="341" spans="1:26" x14ac:dyDescent="0.25">
      <c r="A341" s="9"/>
      <c r="B341" s="12" t="str">
        <f t="shared" si="21"/>
        <v xml:space="preserve"> </v>
      </c>
      <c r="C341" s="10" t="str">
        <f t="shared" si="20"/>
        <v xml:space="preserve"> </v>
      </c>
      <c r="D341" s="10">
        <f t="shared" si="22"/>
        <v>0</v>
      </c>
      <c r="E341" s="10">
        <f t="shared" si="23"/>
        <v>0</v>
      </c>
      <c r="W341" t="str">
        <f>IFERROR(MID(Проливка[[#This Row],[Штрихкод ]],1,FIND("-",Проливка[[#This Row],[Штрихкод ]],1)-1)," ")</f>
        <v xml:space="preserve"> </v>
      </c>
      <c r="X341" t="str">
        <f>IFERROR(RIGHT(Проливка[[#This Row],[Штрихкод ]],LEN(Проливка[[#This Row],[Штрихкод ]])-SEARCH("-",Проливка[[#This Row],[Штрихкод ]],1))," ")</f>
        <v xml:space="preserve"> </v>
      </c>
      <c r="Y341">
        <f>IFERROR(VLOOKUP(Проливка[[#This Row],[ID]]*1,'Срок хранения'!A341:B439,2,0),0)</f>
        <v>0</v>
      </c>
      <c r="Z341">
        <f>IFERROR(VLOOKUP(Проливка[[#This Row],[ID]]*1,'Срок хранения'!A341:C439,3,0),0)</f>
        <v>0</v>
      </c>
    </row>
    <row r="342" spans="1:26" x14ac:dyDescent="0.25">
      <c r="A342" s="9"/>
      <c r="B342" s="12" t="str">
        <f t="shared" si="21"/>
        <v xml:space="preserve"> </v>
      </c>
      <c r="C342" s="10" t="str">
        <f t="shared" si="20"/>
        <v xml:space="preserve"> </v>
      </c>
      <c r="D342" s="10">
        <f t="shared" si="22"/>
        <v>0</v>
      </c>
      <c r="E342" s="10">
        <f t="shared" si="23"/>
        <v>0</v>
      </c>
      <c r="W342" t="str">
        <f>IFERROR(MID(Проливка[[#This Row],[Штрихкод ]],1,FIND("-",Проливка[[#This Row],[Штрихкод ]],1)-1)," ")</f>
        <v xml:space="preserve"> </v>
      </c>
      <c r="X342" t="str">
        <f>IFERROR(RIGHT(Проливка[[#This Row],[Штрихкод ]],LEN(Проливка[[#This Row],[Штрихкод ]])-SEARCH("-",Проливка[[#This Row],[Штрихкод ]],1))," ")</f>
        <v xml:space="preserve"> </v>
      </c>
      <c r="Y342">
        <f>IFERROR(VLOOKUP(Проливка[[#This Row],[ID]]*1,'Срок хранения'!A342:B440,2,0),0)</f>
        <v>0</v>
      </c>
      <c r="Z342">
        <f>IFERROR(VLOOKUP(Проливка[[#This Row],[ID]]*1,'Срок хранения'!A342:C440,3,0),0)</f>
        <v>0</v>
      </c>
    </row>
    <row r="343" spans="1:26" x14ac:dyDescent="0.25">
      <c r="A343" s="9"/>
      <c r="B343" s="12" t="str">
        <f t="shared" si="21"/>
        <v xml:space="preserve"> </v>
      </c>
      <c r="C343" s="10" t="str">
        <f t="shared" si="20"/>
        <v xml:space="preserve"> </v>
      </c>
      <c r="D343" s="10">
        <f t="shared" si="22"/>
        <v>0</v>
      </c>
      <c r="E343" s="10">
        <f t="shared" si="23"/>
        <v>0</v>
      </c>
      <c r="W343" t="str">
        <f>IFERROR(MID(Проливка[[#This Row],[Штрихкод ]],1,FIND("-",Проливка[[#This Row],[Штрихкод ]],1)-1)," ")</f>
        <v xml:space="preserve"> </v>
      </c>
      <c r="X343" t="str">
        <f>IFERROR(RIGHT(Проливка[[#This Row],[Штрихкод ]],LEN(Проливка[[#This Row],[Штрихкод ]])-SEARCH("-",Проливка[[#This Row],[Штрихкод ]],1))," ")</f>
        <v xml:space="preserve"> </v>
      </c>
      <c r="Y343">
        <f>IFERROR(VLOOKUP(Проливка[[#This Row],[ID]]*1,'Срок хранения'!A343:B441,2,0),0)</f>
        <v>0</v>
      </c>
      <c r="Z343">
        <f>IFERROR(VLOOKUP(Проливка[[#This Row],[ID]]*1,'Срок хранения'!A343:C441,3,0),0)</f>
        <v>0</v>
      </c>
    </row>
    <row r="344" spans="1:26" x14ac:dyDescent="0.25">
      <c r="A344" s="9"/>
      <c r="B344" s="12" t="str">
        <f t="shared" si="21"/>
        <v xml:space="preserve"> </v>
      </c>
      <c r="C344" s="10" t="str">
        <f t="shared" si="20"/>
        <v xml:space="preserve"> </v>
      </c>
      <c r="D344" s="10">
        <f t="shared" si="22"/>
        <v>0</v>
      </c>
      <c r="E344" s="10">
        <f t="shared" si="23"/>
        <v>0</v>
      </c>
      <c r="W344" t="str">
        <f>IFERROR(MID(Проливка[[#This Row],[Штрихкод ]],1,FIND("-",Проливка[[#This Row],[Штрихкод ]],1)-1)," ")</f>
        <v xml:space="preserve"> </v>
      </c>
      <c r="X344" t="str">
        <f>IFERROR(RIGHT(Проливка[[#This Row],[Штрихкод ]],LEN(Проливка[[#This Row],[Штрихкод ]])-SEARCH("-",Проливка[[#This Row],[Штрихкод ]],1))," ")</f>
        <v xml:space="preserve"> </v>
      </c>
      <c r="Y344">
        <f>IFERROR(VLOOKUP(Проливка[[#This Row],[ID]]*1,'Срок хранения'!A344:B442,2,0),0)</f>
        <v>0</v>
      </c>
      <c r="Z344">
        <f>IFERROR(VLOOKUP(Проливка[[#This Row],[ID]]*1,'Срок хранения'!A344:C442,3,0),0)</f>
        <v>0</v>
      </c>
    </row>
    <row r="345" spans="1:26" x14ac:dyDescent="0.25">
      <c r="A345" s="9"/>
      <c r="B345" s="12" t="str">
        <f t="shared" si="21"/>
        <v xml:space="preserve"> </v>
      </c>
      <c r="C345" s="10" t="str">
        <f t="shared" si="20"/>
        <v xml:space="preserve"> </v>
      </c>
      <c r="D345" s="10">
        <f t="shared" si="22"/>
        <v>0</v>
      </c>
      <c r="E345" s="10">
        <f t="shared" si="23"/>
        <v>0</v>
      </c>
      <c r="W345" t="str">
        <f>IFERROR(MID(Проливка[[#This Row],[Штрихкод ]],1,FIND("-",Проливка[[#This Row],[Штрихкод ]],1)-1)," ")</f>
        <v xml:space="preserve"> </v>
      </c>
      <c r="X345" t="str">
        <f>IFERROR(RIGHT(Проливка[[#This Row],[Штрихкод ]],LEN(Проливка[[#This Row],[Штрихкод ]])-SEARCH("-",Проливка[[#This Row],[Штрихкод ]],1))," ")</f>
        <v xml:space="preserve"> </v>
      </c>
      <c r="Y345">
        <f>IFERROR(VLOOKUP(Проливка[[#This Row],[ID]]*1,'Срок хранения'!A345:B443,2,0),0)</f>
        <v>0</v>
      </c>
      <c r="Z345">
        <f>IFERROR(VLOOKUP(Проливка[[#This Row],[ID]]*1,'Срок хранения'!A345:C443,3,0),0)</f>
        <v>0</v>
      </c>
    </row>
    <row r="346" spans="1:26" x14ac:dyDescent="0.25">
      <c r="A346" s="9"/>
      <c r="B346" s="12" t="str">
        <f t="shared" si="21"/>
        <v xml:space="preserve"> </v>
      </c>
      <c r="C346" s="10" t="str">
        <f t="shared" si="20"/>
        <v xml:space="preserve"> </v>
      </c>
      <c r="D346" s="10">
        <f t="shared" si="22"/>
        <v>0</v>
      </c>
      <c r="E346" s="10">
        <f t="shared" si="23"/>
        <v>0</v>
      </c>
      <c r="W346" t="str">
        <f>IFERROR(MID(Проливка[[#This Row],[Штрихкод ]],1,FIND("-",Проливка[[#This Row],[Штрихкод ]],1)-1)," ")</f>
        <v xml:space="preserve"> </v>
      </c>
      <c r="X346" t="str">
        <f>IFERROR(RIGHT(Проливка[[#This Row],[Штрихкод ]],LEN(Проливка[[#This Row],[Штрихкод ]])-SEARCH("-",Проливка[[#This Row],[Штрихкод ]],1))," ")</f>
        <v xml:space="preserve"> </v>
      </c>
      <c r="Y346">
        <f>IFERROR(VLOOKUP(Проливка[[#This Row],[ID]]*1,'Срок хранения'!A346:B444,2,0),0)</f>
        <v>0</v>
      </c>
      <c r="Z346">
        <f>IFERROR(VLOOKUP(Проливка[[#This Row],[ID]]*1,'Срок хранения'!A346:C444,3,0),0)</f>
        <v>0</v>
      </c>
    </row>
    <row r="347" spans="1:26" x14ac:dyDescent="0.25">
      <c r="A347" s="9"/>
      <c r="B347" s="12" t="str">
        <f t="shared" si="21"/>
        <v xml:space="preserve"> </v>
      </c>
      <c r="C347" s="10" t="str">
        <f t="shared" si="20"/>
        <v xml:space="preserve"> </v>
      </c>
      <c r="D347" s="10">
        <f t="shared" si="22"/>
        <v>0</v>
      </c>
      <c r="E347" s="10">
        <f t="shared" si="23"/>
        <v>0</v>
      </c>
      <c r="W347" t="str">
        <f>IFERROR(MID(Проливка[[#This Row],[Штрихкод ]],1,FIND("-",Проливка[[#This Row],[Штрихкод ]],1)-1)," ")</f>
        <v xml:space="preserve"> </v>
      </c>
      <c r="X347" t="str">
        <f>IFERROR(RIGHT(Проливка[[#This Row],[Штрихкод ]],LEN(Проливка[[#This Row],[Штрихкод ]])-SEARCH("-",Проливка[[#This Row],[Штрихкод ]],1))," ")</f>
        <v xml:space="preserve"> </v>
      </c>
      <c r="Y347">
        <f>IFERROR(VLOOKUP(Проливка[[#This Row],[ID]]*1,'Срок хранения'!A347:B445,2,0),0)</f>
        <v>0</v>
      </c>
      <c r="Z347">
        <f>IFERROR(VLOOKUP(Проливка[[#This Row],[ID]]*1,'Срок хранения'!A347:C445,3,0),0)</f>
        <v>0</v>
      </c>
    </row>
    <row r="348" spans="1:26" x14ac:dyDescent="0.25">
      <c r="A348" s="9"/>
      <c r="B348" s="12" t="str">
        <f t="shared" si="21"/>
        <v xml:space="preserve"> </v>
      </c>
      <c r="C348" s="10" t="str">
        <f t="shared" si="20"/>
        <v xml:space="preserve"> </v>
      </c>
      <c r="D348" s="10">
        <f t="shared" si="22"/>
        <v>0</v>
      </c>
      <c r="E348" s="10">
        <f t="shared" si="23"/>
        <v>0</v>
      </c>
      <c r="W348" t="str">
        <f>IFERROR(MID(Проливка[[#This Row],[Штрихкод ]],1,FIND("-",Проливка[[#This Row],[Штрихкод ]],1)-1)," ")</f>
        <v xml:space="preserve"> </v>
      </c>
      <c r="X348" t="str">
        <f>IFERROR(RIGHT(Проливка[[#This Row],[Штрихкод ]],LEN(Проливка[[#This Row],[Штрихкод ]])-SEARCH("-",Проливка[[#This Row],[Штрихкод ]],1))," ")</f>
        <v xml:space="preserve"> </v>
      </c>
      <c r="Y348">
        <f>IFERROR(VLOOKUP(Проливка[[#This Row],[ID]]*1,'Срок хранения'!A348:B446,2,0),0)</f>
        <v>0</v>
      </c>
      <c r="Z348">
        <f>IFERROR(VLOOKUP(Проливка[[#This Row],[ID]]*1,'Срок хранения'!A348:C446,3,0),0)</f>
        <v>0</v>
      </c>
    </row>
    <row r="349" spans="1:26" x14ac:dyDescent="0.25">
      <c r="A349" s="9"/>
      <c r="B349" s="12" t="str">
        <f t="shared" si="21"/>
        <v xml:space="preserve"> </v>
      </c>
      <c r="C349" s="10" t="str">
        <f t="shared" si="20"/>
        <v xml:space="preserve"> </v>
      </c>
      <c r="D349" s="10">
        <f t="shared" si="22"/>
        <v>0</v>
      </c>
      <c r="E349" s="10">
        <f t="shared" si="23"/>
        <v>0</v>
      </c>
      <c r="W349" t="str">
        <f>IFERROR(MID(Проливка[[#This Row],[Штрихкод ]],1,FIND("-",Проливка[[#This Row],[Штрихкод ]],1)-1)," ")</f>
        <v xml:space="preserve"> </v>
      </c>
      <c r="X349" t="str">
        <f>IFERROR(RIGHT(Проливка[[#This Row],[Штрихкод ]],LEN(Проливка[[#This Row],[Штрихкод ]])-SEARCH("-",Проливка[[#This Row],[Штрихкод ]],1))," ")</f>
        <v xml:space="preserve"> </v>
      </c>
      <c r="Y349">
        <f>IFERROR(VLOOKUP(Проливка[[#This Row],[ID]]*1,'Срок хранения'!A349:B447,2,0),0)</f>
        <v>0</v>
      </c>
      <c r="Z349">
        <f>IFERROR(VLOOKUP(Проливка[[#This Row],[ID]]*1,'Срок хранения'!A349:C447,3,0),0)</f>
        <v>0</v>
      </c>
    </row>
    <row r="350" spans="1:26" x14ac:dyDescent="0.25">
      <c r="A350" s="9"/>
      <c r="B350" s="12" t="str">
        <f t="shared" si="21"/>
        <v xml:space="preserve"> </v>
      </c>
      <c r="C350" s="10" t="str">
        <f t="shared" si="20"/>
        <v xml:space="preserve"> </v>
      </c>
      <c r="D350" s="10">
        <f t="shared" si="22"/>
        <v>0</v>
      </c>
      <c r="E350" s="10">
        <f t="shared" si="23"/>
        <v>0</v>
      </c>
      <c r="W350" t="str">
        <f>IFERROR(MID(Проливка[[#This Row],[Штрихкод ]],1,FIND("-",Проливка[[#This Row],[Штрихкод ]],1)-1)," ")</f>
        <v xml:space="preserve"> </v>
      </c>
      <c r="X350" t="str">
        <f>IFERROR(RIGHT(Проливка[[#This Row],[Штрихкод ]],LEN(Проливка[[#This Row],[Штрихкод ]])-SEARCH("-",Проливка[[#This Row],[Штрихкод ]],1))," ")</f>
        <v xml:space="preserve"> </v>
      </c>
      <c r="Y350">
        <f>IFERROR(VLOOKUP(Проливка[[#This Row],[ID]]*1,'Срок хранения'!A350:B448,2,0),0)</f>
        <v>0</v>
      </c>
      <c r="Z350">
        <f>IFERROR(VLOOKUP(Проливка[[#This Row],[ID]]*1,'Срок хранения'!A350:C448,3,0),0)</f>
        <v>0</v>
      </c>
    </row>
    <row r="351" spans="1:26" x14ac:dyDescent="0.25">
      <c r="A351" s="9"/>
      <c r="B351" s="12" t="str">
        <f t="shared" si="21"/>
        <v xml:space="preserve"> </v>
      </c>
      <c r="C351" s="10" t="str">
        <f t="shared" si="20"/>
        <v xml:space="preserve"> </v>
      </c>
      <c r="D351" s="10">
        <f t="shared" si="22"/>
        <v>0</v>
      </c>
      <c r="E351" s="10">
        <f t="shared" si="23"/>
        <v>0</v>
      </c>
      <c r="W351" t="str">
        <f>IFERROR(MID(Проливка[[#This Row],[Штрихкод ]],1,FIND("-",Проливка[[#This Row],[Штрихкод ]],1)-1)," ")</f>
        <v xml:space="preserve"> </v>
      </c>
      <c r="X351" t="str">
        <f>IFERROR(RIGHT(Проливка[[#This Row],[Штрихкод ]],LEN(Проливка[[#This Row],[Штрихкод ]])-SEARCH("-",Проливка[[#This Row],[Штрихкод ]],1))," ")</f>
        <v xml:space="preserve"> </v>
      </c>
      <c r="Y351">
        <f>IFERROR(VLOOKUP(Проливка[[#This Row],[ID]]*1,'Срок хранения'!A351:B449,2,0),0)</f>
        <v>0</v>
      </c>
      <c r="Z351">
        <f>IFERROR(VLOOKUP(Проливка[[#This Row],[ID]]*1,'Срок хранения'!A351:C449,3,0),0)</f>
        <v>0</v>
      </c>
    </row>
    <row r="352" spans="1:26" x14ac:dyDescent="0.25">
      <c r="A352" s="9"/>
      <c r="B352" s="12" t="str">
        <f t="shared" si="21"/>
        <v xml:space="preserve"> </v>
      </c>
      <c r="C352" s="10" t="str">
        <f t="shared" si="20"/>
        <v xml:space="preserve"> </v>
      </c>
      <c r="D352" s="10">
        <f t="shared" si="22"/>
        <v>0</v>
      </c>
      <c r="E352" s="10">
        <f t="shared" si="23"/>
        <v>0</v>
      </c>
      <c r="W352" t="str">
        <f>IFERROR(MID(Проливка[[#This Row],[Штрихкод ]],1,FIND("-",Проливка[[#This Row],[Штрихкод ]],1)-1)," ")</f>
        <v xml:space="preserve"> </v>
      </c>
      <c r="X352" t="str">
        <f>IFERROR(RIGHT(Проливка[[#This Row],[Штрихкод ]],LEN(Проливка[[#This Row],[Штрихкод ]])-SEARCH("-",Проливка[[#This Row],[Штрихкод ]],1))," ")</f>
        <v xml:space="preserve"> </v>
      </c>
      <c r="Y352">
        <f>IFERROR(VLOOKUP(Проливка[[#This Row],[ID]]*1,'Срок хранения'!A352:B450,2,0),0)</f>
        <v>0</v>
      </c>
      <c r="Z352">
        <f>IFERROR(VLOOKUP(Проливка[[#This Row],[ID]]*1,'Срок хранения'!A352:C450,3,0),0)</f>
        <v>0</v>
      </c>
    </row>
    <row r="353" spans="1:26" x14ac:dyDescent="0.25">
      <c r="A353" s="9"/>
      <c r="B353" s="12" t="str">
        <f t="shared" si="21"/>
        <v xml:space="preserve"> </v>
      </c>
      <c r="C353" s="10" t="str">
        <f t="shared" si="20"/>
        <v xml:space="preserve"> </v>
      </c>
      <c r="D353" s="10">
        <f t="shared" si="22"/>
        <v>0</v>
      </c>
      <c r="E353" s="10">
        <f t="shared" si="23"/>
        <v>0</v>
      </c>
      <c r="W353" t="str">
        <f>IFERROR(MID(Проливка[[#This Row],[Штрихкод ]],1,FIND("-",Проливка[[#This Row],[Штрихкод ]],1)-1)," ")</f>
        <v xml:space="preserve"> </v>
      </c>
      <c r="X353" t="str">
        <f>IFERROR(RIGHT(Проливка[[#This Row],[Штрихкод ]],LEN(Проливка[[#This Row],[Штрихкод ]])-SEARCH("-",Проливка[[#This Row],[Штрихкод ]],1))," ")</f>
        <v xml:space="preserve"> </v>
      </c>
      <c r="Y353">
        <f>IFERROR(VLOOKUP(Проливка[[#This Row],[ID]]*1,'Срок хранения'!A353:B451,2,0),0)</f>
        <v>0</v>
      </c>
      <c r="Z353">
        <f>IFERROR(VLOOKUP(Проливка[[#This Row],[ID]]*1,'Срок хранения'!A353:C451,3,0),0)</f>
        <v>0</v>
      </c>
    </row>
    <row r="354" spans="1:26" x14ac:dyDescent="0.25">
      <c r="A354" s="9"/>
      <c r="B354" s="12" t="str">
        <f t="shared" si="21"/>
        <v xml:space="preserve"> </v>
      </c>
      <c r="C354" s="10" t="str">
        <f t="shared" si="20"/>
        <v xml:space="preserve"> </v>
      </c>
      <c r="D354" s="10">
        <f t="shared" si="22"/>
        <v>0</v>
      </c>
      <c r="E354" s="10">
        <f t="shared" si="23"/>
        <v>0</v>
      </c>
      <c r="W354" t="str">
        <f>IFERROR(MID(Проливка[[#This Row],[Штрихкод ]],1,FIND("-",Проливка[[#This Row],[Штрихкод ]],1)-1)," ")</f>
        <v xml:space="preserve"> </v>
      </c>
      <c r="X354" t="str">
        <f>IFERROR(RIGHT(Проливка[[#This Row],[Штрихкод ]],LEN(Проливка[[#This Row],[Штрихкод ]])-SEARCH("-",Проливка[[#This Row],[Штрихкод ]],1))," ")</f>
        <v xml:space="preserve"> </v>
      </c>
      <c r="Y354">
        <f>IFERROR(VLOOKUP(Проливка[[#This Row],[ID]]*1,'Срок хранения'!A354:B452,2,0),0)</f>
        <v>0</v>
      </c>
      <c r="Z354">
        <f>IFERROR(VLOOKUP(Проливка[[#This Row],[ID]]*1,'Срок хранения'!A354:C452,3,0),0)</f>
        <v>0</v>
      </c>
    </row>
    <row r="355" spans="1:26" x14ac:dyDescent="0.25">
      <c r="A355" s="9"/>
      <c r="B355" s="12" t="str">
        <f t="shared" si="21"/>
        <v xml:space="preserve"> </v>
      </c>
      <c r="C355" s="10" t="str">
        <f t="shared" si="20"/>
        <v xml:space="preserve"> </v>
      </c>
      <c r="D355" s="10">
        <f t="shared" si="22"/>
        <v>0</v>
      </c>
      <c r="E355" s="10">
        <f t="shared" si="23"/>
        <v>0</v>
      </c>
      <c r="W355" t="str">
        <f>IFERROR(MID(Проливка[[#This Row],[Штрихкод ]],1,FIND("-",Проливка[[#This Row],[Штрихкод ]],1)-1)," ")</f>
        <v xml:space="preserve"> </v>
      </c>
      <c r="X355" t="str">
        <f>IFERROR(RIGHT(Проливка[[#This Row],[Штрихкод ]],LEN(Проливка[[#This Row],[Штрихкод ]])-SEARCH("-",Проливка[[#This Row],[Штрихкод ]],1))," ")</f>
        <v xml:space="preserve"> </v>
      </c>
      <c r="Y355">
        <f>IFERROR(VLOOKUP(Проливка[[#This Row],[ID]]*1,'Срок хранения'!A355:B453,2,0),0)</f>
        <v>0</v>
      </c>
      <c r="Z355">
        <f>IFERROR(VLOOKUP(Проливка[[#This Row],[ID]]*1,'Срок хранения'!A355:C453,3,0),0)</f>
        <v>0</v>
      </c>
    </row>
    <row r="356" spans="1:26" x14ac:dyDescent="0.25">
      <c r="A356" s="9"/>
      <c r="B356" s="12" t="str">
        <f t="shared" si="21"/>
        <v xml:space="preserve"> </v>
      </c>
      <c r="C356" s="10" t="str">
        <f t="shared" si="20"/>
        <v xml:space="preserve"> </v>
      </c>
      <c r="D356" s="10">
        <f t="shared" si="22"/>
        <v>0</v>
      </c>
      <c r="E356" s="10">
        <f t="shared" si="23"/>
        <v>0</v>
      </c>
      <c r="W356" t="str">
        <f>IFERROR(MID(Проливка[[#This Row],[Штрихкод ]],1,FIND("-",Проливка[[#This Row],[Штрихкод ]],1)-1)," ")</f>
        <v xml:space="preserve"> </v>
      </c>
      <c r="X356" t="str">
        <f>IFERROR(RIGHT(Проливка[[#This Row],[Штрихкод ]],LEN(Проливка[[#This Row],[Штрихкод ]])-SEARCH("-",Проливка[[#This Row],[Штрихкод ]],1))," ")</f>
        <v xml:space="preserve"> </v>
      </c>
      <c r="Y356">
        <f>IFERROR(VLOOKUP(Проливка[[#This Row],[ID]]*1,'Срок хранения'!A356:B454,2,0),0)</f>
        <v>0</v>
      </c>
      <c r="Z356">
        <f>IFERROR(VLOOKUP(Проливка[[#This Row],[ID]]*1,'Срок хранения'!A356:C454,3,0),0)</f>
        <v>0</v>
      </c>
    </row>
    <row r="357" spans="1:26" x14ac:dyDescent="0.25">
      <c r="A357" s="9"/>
      <c r="B357" s="12" t="str">
        <f t="shared" si="21"/>
        <v xml:space="preserve"> </v>
      </c>
      <c r="C357" s="10" t="str">
        <f t="shared" si="20"/>
        <v xml:space="preserve"> </v>
      </c>
      <c r="D357" s="10">
        <f t="shared" si="22"/>
        <v>0</v>
      </c>
      <c r="E357" s="10">
        <f t="shared" si="23"/>
        <v>0</v>
      </c>
      <c r="W357" t="str">
        <f>IFERROR(MID(Проливка[[#This Row],[Штрихкод ]],1,FIND("-",Проливка[[#This Row],[Штрихкод ]],1)-1)," ")</f>
        <v xml:space="preserve"> </v>
      </c>
      <c r="X357" t="str">
        <f>IFERROR(RIGHT(Проливка[[#This Row],[Штрихкод ]],LEN(Проливка[[#This Row],[Штрихкод ]])-SEARCH("-",Проливка[[#This Row],[Штрихкод ]],1))," ")</f>
        <v xml:space="preserve"> </v>
      </c>
      <c r="Y357">
        <f>IFERROR(VLOOKUP(Проливка[[#This Row],[ID]]*1,'Срок хранения'!A357:B455,2,0),0)</f>
        <v>0</v>
      </c>
      <c r="Z357">
        <f>IFERROR(VLOOKUP(Проливка[[#This Row],[ID]]*1,'Срок хранения'!A357:C455,3,0),0)</f>
        <v>0</v>
      </c>
    </row>
    <row r="358" spans="1:26" x14ac:dyDescent="0.25">
      <c r="A358" s="9"/>
      <c r="B358" s="12" t="str">
        <f t="shared" si="21"/>
        <v xml:space="preserve"> </v>
      </c>
      <c r="C358" s="10" t="str">
        <f t="shared" si="20"/>
        <v xml:space="preserve"> </v>
      </c>
      <c r="D358" s="10">
        <f t="shared" si="22"/>
        <v>0</v>
      </c>
      <c r="E358" s="10">
        <f t="shared" si="23"/>
        <v>0</v>
      </c>
      <c r="W358" t="str">
        <f>IFERROR(MID(Проливка[[#This Row],[Штрихкод ]],1,FIND("-",Проливка[[#This Row],[Штрихкод ]],1)-1)," ")</f>
        <v xml:space="preserve"> </v>
      </c>
      <c r="X358" t="str">
        <f>IFERROR(RIGHT(Проливка[[#This Row],[Штрихкод ]],LEN(Проливка[[#This Row],[Штрихкод ]])-SEARCH("-",Проливка[[#This Row],[Штрихкод ]],1))," ")</f>
        <v xml:space="preserve"> </v>
      </c>
      <c r="Y358">
        <f>IFERROR(VLOOKUP(Проливка[[#This Row],[ID]]*1,'Срок хранения'!A358:B456,2,0),0)</f>
        <v>0</v>
      </c>
      <c r="Z358">
        <f>IFERROR(VLOOKUP(Проливка[[#This Row],[ID]]*1,'Срок хранения'!A358:C456,3,0),0)</f>
        <v>0</v>
      </c>
    </row>
    <row r="359" spans="1:26" x14ac:dyDescent="0.25">
      <c r="A359" s="9"/>
      <c r="B359" s="12" t="str">
        <f t="shared" si="21"/>
        <v xml:space="preserve"> </v>
      </c>
      <c r="C359" s="10" t="str">
        <f t="shared" si="20"/>
        <v xml:space="preserve"> </v>
      </c>
      <c r="D359" s="10">
        <f t="shared" si="22"/>
        <v>0</v>
      </c>
      <c r="E359" s="10">
        <f t="shared" si="23"/>
        <v>0</v>
      </c>
      <c r="W359" t="str">
        <f>IFERROR(MID(Проливка[[#This Row],[Штрихкод ]],1,FIND("-",Проливка[[#This Row],[Штрихкод ]],1)-1)," ")</f>
        <v xml:space="preserve"> </v>
      </c>
      <c r="X359" t="str">
        <f>IFERROR(RIGHT(Проливка[[#This Row],[Штрихкод ]],LEN(Проливка[[#This Row],[Штрихкод ]])-SEARCH("-",Проливка[[#This Row],[Штрихкод ]],1))," ")</f>
        <v xml:space="preserve"> </v>
      </c>
      <c r="Y359">
        <f>IFERROR(VLOOKUP(Проливка[[#This Row],[ID]]*1,'Срок хранения'!A359:B457,2,0),0)</f>
        <v>0</v>
      </c>
      <c r="Z359">
        <f>IFERROR(VLOOKUP(Проливка[[#This Row],[ID]]*1,'Срок хранения'!A359:C457,3,0),0)</f>
        <v>0</v>
      </c>
    </row>
    <row r="360" spans="1:26" x14ac:dyDescent="0.25">
      <c r="A360" s="9"/>
      <c r="B360" s="12" t="str">
        <f t="shared" si="21"/>
        <v xml:space="preserve"> </v>
      </c>
      <c r="C360" s="10" t="str">
        <f t="shared" si="20"/>
        <v xml:space="preserve"> </v>
      </c>
      <c r="D360" s="10">
        <f t="shared" si="22"/>
        <v>0</v>
      </c>
      <c r="E360" s="10">
        <f t="shared" si="23"/>
        <v>0</v>
      </c>
      <c r="W360" t="str">
        <f>IFERROR(MID(Проливка[[#This Row],[Штрихкод ]],1,FIND("-",Проливка[[#This Row],[Штрихкод ]],1)-1)," ")</f>
        <v xml:space="preserve"> </v>
      </c>
      <c r="X360" t="str">
        <f>IFERROR(RIGHT(Проливка[[#This Row],[Штрихкод ]],LEN(Проливка[[#This Row],[Штрихкод ]])-SEARCH("-",Проливка[[#This Row],[Штрихкод ]],1))," ")</f>
        <v xml:space="preserve"> </v>
      </c>
      <c r="Y360">
        <f>IFERROR(VLOOKUP(Проливка[[#This Row],[ID]]*1,'Срок хранения'!A360:B458,2,0),0)</f>
        <v>0</v>
      </c>
      <c r="Z360">
        <f>IFERROR(VLOOKUP(Проливка[[#This Row],[ID]]*1,'Срок хранения'!A360:C458,3,0),0)</f>
        <v>0</v>
      </c>
    </row>
    <row r="361" spans="1:26" x14ac:dyDescent="0.25">
      <c r="A361" s="9"/>
      <c r="B361" s="12" t="str">
        <f t="shared" si="21"/>
        <v xml:space="preserve"> </v>
      </c>
      <c r="C361" s="10" t="str">
        <f t="shared" si="20"/>
        <v xml:space="preserve"> </v>
      </c>
      <c r="D361" s="10">
        <f t="shared" si="22"/>
        <v>0</v>
      </c>
      <c r="E361" s="10">
        <f t="shared" si="23"/>
        <v>0</v>
      </c>
      <c r="W361" t="str">
        <f>IFERROR(MID(Проливка[[#This Row],[Штрихкод ]],1,FIND("-",Проливка[[#This Row],[Штрихкод ]],1)-1)," ")</f>
        <v xml:space="preserve"> </v>
      </c>
      <c r="X361" t="str">
        <f>IFERROR(RIGHT(Проливка[[#This Row],[Штрихкод ]],LEN(Проливка[[#This Row],[Штрихкод ]])-SEARCH("-",Проливка[[#This Row],[Штрихкод ]],1))," ")</f>
        <v xml:space="preserve"> </v>
      </c>
      <c r="Y361">
        <f>IFERROR(VLOOKUP(Проливка[[#This Row],[ID]]*1,'Срок хранения'!A361:B459,2,0),0)</f>
        <v>0</v>
      </c>
      <c r="Z361">
        <f>IFERROR(VLOOKUP(Проливка[[#This Row],[ID]]*1,'Срок хранения'!A361:C459,3,0),0)</f>
        <v>0</v>
      </c>
    </row>
    <row r="362" spans="1:26" x14ac:dyDescent="0.25">
      <c r="A362" s="9"/>
      <c r="B362" s="12" t="str">
        <f t="shared" si="21"/>
        <v xml:space="preserve"> </v>
      </c>
      <c r="C362" s="10" t="str">
        <f t="shared" si="20"/>
        <v xml:space="preserve"> </v>
      </c>
      <c r="D362" s="10">
        <f t="shared" si="22"/>
        <v>0</v>
      </c>
      <c r="E362" s="10">
        <f t="shared" si="23"/>
        <v>0</v>
      </c>
      <c r="W362" t="str">
        <f>IFERROR(MID(Проливка[[#This Row],[Штрихкод ]],1,FIND("-",Проливка[[#This Row],[Штрихкод ]],1)-1)," ")</f>
        <v xml:space="preserve"> </v>
      </c>
      <c r="X362" t="str">
        <f>IFERROR(RIGHT(Проливка[[#This Row],[Штрихкод ]],LEN(Проливка[[#This Row],[Штрихкод ]])-SEARCH("-",Проливка[[#This Row],[Штрихкод ]],1))," ")</f>
        <v xml:space="preserve"> </v>
      </c>
      <c r="Y362">
        <f>IFERROR(VLOOKUP(Проливка[[#This Row],[ID]]*1,'Срок хранения'!A362:B460,2,0),0)</f>
        <v>0</v>
      </c>
      <c r="Z362">
        <f>IFERROR(VLOOKUP(Проливка[[#This Row],[ID]]*1,'Срок хранения'!A362:C460,3,0),0)</f>
        <v>0</v>
      </c>
    </row>
    <row r="363" spans="1:26" x14ac:dyDescent="0.25">
      <c r="A363" s="9"/>
      <c r="B363" s="12" t="str">
        <f t="shared" si="21"/>
        <v xml:space="preserve"> </v>
      </c>
      <c r="C363" s="10" t="str">
        <f t="shared" si="20"/>
        <v xml:space="preserve"> </v>
      </c>
      <c r="D363" s="10">
        <f t="shared" si="22"/>
        <v>0</v>
      </c>
      <c r="E363" s="10">
        <f t="shared" si="23"/>
        <v>0</v>
      </c>
      <c r="W363" t="str">
        <f>IFERROR(MID(Проливка[[#This Row],[Штрихкод ]],1,FIND("-",Проливка[[#This Row],[Штрихкод ]],1)-1)," ")</f>
        <v xml:space="preserve"> </v>
      </c>
      <c r="X363" t="str">
        <f>IFERROR(RIGHT(Проливка[[#This Row],[Штрихкод ]],LEN(Проливка[[#This Row],[Штрихкод ]])-SEARCH("-",Проливка[[#This Row],[Штрихкод ]],1))," ")</f>
        <v xml:space="preserve"> </v>
      </c>
      <c r="Y363">
        <f>IFERROR(VLOOKUP(Проливка[[#This Row],[ID]]*1,'Срок хранения'!A363:B461,2,0),0)</f>
        <v>0</v>
      </c>
      <c r="Z363">
        <f>IFERROR(VLOOKUP(Проливка[[#This Row],[ID]]*1,'Срок хранения'!A363:C461,3,0),0)</f>
        <v>0</v>
      </c>
    </row>
    <row r="364" spans="1:26" x14ac:dyDescent="0.25">
      <c r="A364" s="9"/>
      <c r="B364" s="12" t="str">
        <f t="shared" si="21"/>
        <v xml:space="preserve"> </v>
      </c>
      <c r="C364" s="10" t="str">
        <f t="shared" si="20"/>
        <v xml:space="preserve"> </v>
      </c>
      <c r="D364" s="10">
        <f t="shared" si="22"/>
        <v>0</v>
      </c>
      <c r="E364" s="10">
        <f t="shared" si="23"/>
        <v>0</v>
      </c>
      <c r="W364" t="str">
        <f>IFERROR(MID(Проливка[[#This Row],[Штрихкод ]],1,FIND("-",Проливка[[#This Row],[Штрихкод ]],1)-1)," ")</f>
        <v xml:space="preserve"> </v>
      </c>
      <c r="X364" t="str">
        <f>IFERROR(RIGHT(Проливка[[#This Row],[Штрихкод ]],LEN(Проливка[[#This Row],[Штрихкод ]])-SEARCH("-",Проливка[[#This Row],[Штрихкод ]],1))," ")</f>
        <v xml:space="preserve"> </v>
      </c>
      <c r="Y364">
        <f>IFERROR(VLOOKUP(Проливка[[#This Row],[ID]]*1,'Срок хранения'!A364:B462,2,0),0)</f>
        <v>0</v>
      </c>
      <c r="Z364">
        <f>IFERROR(VLOOKUP(Проливка[[#This Row],[ID]]*1,'Срок хранения'!A364:C462,3,0),0)</f>
        <v>0</v>
      </c>
    </row>
    <row r="365" spans="1:26" x14ac:dyDescent="0.25">
      <c r="A365" s="9"/>
      <c r="B365" s="12" t="str">
        <f t="shared" si="21"/>
        <v xml:space="preserve"> </v>
      </c>
      <c r="C365" s="10" t="str">
        <f t="shared" si="20"/>
        <v xml:space="preserve"> </v>
      </c>
      <c r="D365" s="10">
        <f t="shared" si="22"/>
        <v>0</v>
      </c>
      <c r="E365" s="10">
        <f t="shared" si="23"/>
        <v>0</v>
      </c>
      <c r="W365" t="str">
        <f>IFERROR(MID(Проливка[[#This Row],[Штрихкод ]],1,FIND("-",Проливка[[#This Row],[Штрихкод ]],1)-1)," ")</f>
        <v xml:space="preserve"> </v>
      </c>
      <c r="X365" t="str">
        <f>IFERROR(RIGHT(Проливка[[#This Row],[Штрихкод ]],LEN(Проливка[[#This Row],[Штрихкод ]])-SEARCH("-",Проливка[[#This Row],[Штрихкод ]],1))," ")</f>
        <v xml:space="preserve"> </v>
      </c>
      <c r="Y365">
        <f>IFERROR(VLOOKUP(Проливка[[#This Row],[ID]]*1,'Срок хранения'!A365:B463,2,0),0)</f>
        <v>0</v>
      </c>
      <c r="Z365">
        <f>IFERROR(VLOOKUP(Проливка[[#This Row],[ID]]*1,'Срок хранения'!A365:C463,3,0),0)</f>
        <v>0</v>
      </c>
    </row>
    <row r="366" spans="1:26" x14ac:dyDescent="0.25">
      <c r="A366" s="9"/>
      <c r="B366" s="12" t="str">
        <f t="shared" si="21"/>
        <v xml:space="preserve"> </v>
      </c>
      <c r="C366" s="10" t="str">
        <f t="shared" si="20"/>
        <v xml:space="preserve"> </v>
      </c>
      <c r="D366" s="10">
        <f t="shared" si="22"/>
        <v>0</v>
      </c>
      <c r="E366" s="10">
        <f t="shared" si="23"/>
        <v>0</v>
      </c>
      <c r="W366" t="str">
        <f>IFERROR(MID(Проливка[[#This Row],[Штрихкод ]],1,FIND("-",Проливка[[#This Row],[Штрихкод ]],1)-1)," ")</f>
        <v xml:space="preserve"> </v>
      </c>
      <c r="X366" t="str">
        <f>IFERROR(RIGHT(Проливка[[#This Row],[Штрихкод ]],LEN(Проливка[[#This Row],[Штрихкод ]])-SEARCH("-",Проливка[[#This Row],[Штрихкод ]],1))," ")</f>
        <v xml:space="preserve"> </v>
      </c>
      <c r="Y366">
        <f>IFERROR(VLOOKUP(Проливка[[#This Row],[ID]]*1,'Срок хранения'!A366:B464,2,0),0)</f>
        <v>0</v>
      </c>
      <c r="Z366">
        <f>IFERROR(VLOOKUP(Проливка[[#This Row],[ID]]*1,'Срок хранения'!A366:C464,3,0),0)</f>
        <v>0</v>
      </c>
    </row>
    <row r="367" spans="1:26" x14ac:dyDescent="0.25">
      <c r="A367" s="9"/>
      <c r="B367" s="12" t="str">
        <f t="shared" si="21"/>
        <v xml:space="preserve"> </v>
      </c>
      <c r="C367" s="10" t="str">
        <f t="shared" si="20"/>
        <v xml:space="preserve"> </v>
      </c>
      <c r="D367" s="10">
        <f t="shared" si="22"/>
        <v>0</v>
      </c>
      <c r="E367" s="10">
        <f t="shared" si="23"/>
        <v>0</v>
      </c>
      <c r="W367" t="str">
        <f>IFERROR(MID(Проливка[[#This Row],[Штрихкод ]],1,FIND("-",Проливка[[#This Row],[Штрихкод ]],1)-1)," ")</f>
        <v xml:space="preserve"> </v>
      </c>
      <c r="X367" t="str">
        <f>IFERROR(RIGHT(Проливка[[#This Row],[Штрихкод ]],LEN(Проливка[[#This Row],[Штрихкод ]])-SEARCH("-",Проливка[[#This Row],[Штрихкод ]],1))," ")</f>
        <v xml:space="preserve"> </v>
      </c>
      <c r="Y367">
        <f>IFERROR(VLOOKUP(Проливка[[#This Row],[ID]]*1,'Срок хранения'!A367:B465,2,0),0)</f>
        <v>0</v>
      </c>
      <c r="Z367">
        <f>IFERROR(VLOOKUP(Проливка[[#This Row],[ID]]*1,'Срок хранения'!A367:C465,3,0),0)</f>
        <v>0</v>
      </c>
    </row>
    <row r="368" spans="1:26" x14ac:dyDescent="0.25">
      <c r="A368" s="9"/>
      <c r="B368" s="12" t="str">
        <f t="shared" si="21"/>
        <v xml:space="preserve"> </v>
      </c>
      <c r="C368" s="10" t="str">
        <f t="shared" si="20"/>
        <v xml:space="preserve"> </v>
      </c>
      <c r="D368" s="10">
        <f t="shared" si="22"/>
        <v>0</v>
      </c>
      <c r="E368" s="10">
        <f t="shared" si="23"/>
        <v>0</v>
      </c>
      <c r="W368" t="str">
        <f>IFERROR(MID(Проливка[[#This Row],[Штрихкод ]],1,FIND("-",Проливка[[#This Row],[Штрихкод ]],1)-1)," ")</f>
        <v xml:space="preserve"> </v>
      </c>
      <c r="X368" t="str">
        <f>IFERROR(RIGHT(Проливка[[#This Row],[Штрихкод ]],LEN(Проливка[[#This Row],[Штрихкод ]])-SEARCH("-",Проливка[[#This Row],[Штрихкод ]],1))," ")</f>
        <v xml:space="preserve"> </v>
      </c>
      <c r="Y368">
        <f>IFERROR(VLOOKUP(Проливка[[#This Row],[ID]]*1,'Срок хранения'!A368:B466,2,0),0)</f>
        <v>0</v>
      </c>
      <c r="Z368">
        <f>IFERROR(VLOOKUP(Проливка[[#This Row],[ID]]*1,'Срок хранения'!A368:C466,3,0),0)</f>
        <v>0</v>
      </c>
    </row>
    <row r="369" spans="1:26" x14ac:dyDescent="0.25">
      <c r="A369" s="9"/>
      <c r="B369" s="12" t="str">
        <f t="shared" si="21"/>
        <v xml:space="preserve"> </v>
      </c>
      <c r="C369" s="10" t="str">
        <f t="shared" si="20"/>
        <v xml:space="preserve"> </v>
      </c>
      <c r="D369" s="10">
        <f t="shared" si="22"/>
        <v>0</v>
      </c>
      <c r="E369" s="10">
        <f t="shared" si="23"/>
        <v>0</v>
      </c>
      <c r="W369" t="str">
        <f>IFERROR(MID(Проливка[[#This Row],[Штрихкод ]],1,FIND("-",Проливка[[#This Row],[Штрихкод ]],1)-1)," ")</f>
        <v xml:space="preserve"> </v>
      </c>
      <c r="X369" t="str">
        <f>IFERROR(RIGHT(Проливка[[#This Row],[Штрихкод ]],LEN(Проливка[[#This Row],[Штрихкод ]])-SEARCH("-",Проливка[[#This Row],[Штрихкод ]],1))," ")</f>
        <v xml:space="preserve"> </v>
      </c>
      <c r="Y369">
        <f>IFERROR(VLOOKUP(Проливка[[#This Row],[ID]]*1,'Срок хранения'!A369:B467,2,0),0)</f>
        <v>0</v>
      </c>
      <c r="Z369">
        <f>IFERROR(VLOOKUP(Проливка[[#This Row],[ID]]*1,'Срок хранения'!A369:C467,3,0),0)</f>
        <v>0</v>
      </c>
    </row>
    <row r="370" spans="1:26" x14ac:dyDescent="0.25">
      <c r="A370" s="9"/>
      <c r="B370" s="12" t="str">
        <f t="shared" si="21"/>
        <v xml:space="preserve"> </v>
      </c>
      <c r="C370" s="10" t="str">
        <f t="shared" si="20"/>
        <v xml:space="preserve"> </v>
      </c>
      <c r="D370" s="10">
        <f t="shared" si="22"/>
        <v>0</v>
      </c>
      <c r="E370" s="10">
        <f t="shared" si="23"/>
        <v>0</v>
      </c>
      <c r="W370" t="str">
        <f>IFERROR(MID(Проливка[[#This Row],[Штрихкод ]],1,FIND("-",Проливка[[#This Row],[Штрихкод ]],1)-1)," ")</f>
        <v xml:space="preserve"> </v>
      </c>
      <c r="X370" t="str">
        <f>IFERROR(RIGHT(Проливка[[#This Row],[Штрихкод ]],LEN(Проливка[[#This Row],[Штрихкод ]])-SEARCH("-",Проливка[[#This Row],[Штрихкод ]],1))," ")</f>
        <v xml:space="preserve"> </v>
      </c>
      <c r="Y370">
        <f>IFERROR(VLOOKUP(Проливка[[#This Row],[ID]]*1,'Срок хранения'!A370:B468,2,0),0)</f>
        <v>0</v>
      </c>
      <c r="Z370">
        <f>IFERROR(VLOOKUP(Проливка[[#This Row],[ID]]*1,'Срок хранения'!A370:C468,3,0),0)</f>
        <v>0</v>
      </c>
    </row>
    <row r="371" spans="1:26" x14ac:dyDescent="0.25">
      <c r="A371" s="9"/>
      <c r="B371" s="12" t="str">
        <f t="shared" si="21"/>
        <v xml:space="preserve"> </v>
      </c>
      <c r="C371" s="10" t="str">
        <f t="shared" si="20"/>
        <v xml:space="preserve"> </v>
      </c>
      <c r="D371" s="10">
        <f t="shared" si="22"/>
        <v>0</v>
      </c>
      <c r="E371" s="10">
        <f t="shared" si="23"/>
        <v>0</v>
      </c>
      <c r="W371" t="str">
        <f>IFERROR(MID(Проливка[[#This Row],[Штрихкод ]],1,FIND("-",Проливка[[#This Row],[Штрихкод ]],1)-1)," ")</f>
        <v xml:space="preserve"> </v>
      </c>
      <c r="X371" t="str">
        <f>IFERROR(RIGHT(Проливка[[#This Row],[Штрихкод ]],LEN(Проливка[[#This Row],[Штрихкод ]])-SEARCH("-",Проливка[[#This Row],[Штрихкод ]],1))," ")</f>
        <v xml:space="preserve"> </v>
      </c>
      <c r="Y371">
        <f>IFERROR(VLOOKUP(Проливка[[#This Row],[ID]]*1,'Срок хранения'!A371:B469,2,0),0)</f>
        <v>0</v>
      </c>
      <c r="Z371">
        <f>IFERROR(VLOOKUP(Проливка[[#This Row],[ID]]*1,'Срок хранения'!A371:C469,3,0),0)</f>
        <v>0</v>
      </c>
    </row>
    <row r="372" spans="1:26" x14ac:dyDescent="0.25">
      <c r="A372" s="9"/>
      <c r="B372" s="12" t="str">
        <f t="shared" si="21"/>
        <v xml:space="preserve"> </v>
      </c>
      <c r="C372" s="10" t="str">
        <f t="shared" si="20"/>
        <v xml:space="preserve"> </v>
      </c>
      <c r="D372" s="10">
        <f t="shared" si="22"/>
        <v>0</v>
      </c>
      <c r="E372" s="10">
        <f t="shared" si="23"/>
        <v>0</v>
      </c>
      <c r="W372" t="str">
        <f>IFERROR(MID(Проливка[[#This Row],[Штрихкод ]],1,FIND("-",Проливка[[#This Row],[Штрихкод ]],1)-1)," ")</f>
        <v xml:space="preserve"> </v>
      </c>
      <c r="X372" t="str">
        <f>IFERROR(RIGHT(Проливка[[#This Row],[Штрихкод ]],LEN(Проливка[[#This Row],[Штрихкод ]])-SEARCH("-",Проливка[[#This Row],[Штрихкод ]],1))," ")</f>
        <v xml:space="preserve"> </v>
      </c>
      <c r="Y372">
        <f>IFERROR(VLOOKUP(Проливка[[#This Row],[ID]]*1,'Срок хранения'!A372:B470,2,0),0)</f>
        <v>0</v>
      </c>
      <c r="Z372">
        <f>IFERROR(VLOOKUP(Проливка[[#This Row],[ID]]*1,'Срок хранения'!A372:C470,3,0),0)</f>
        <v>0</v>
      </c>
    </row>
    <row r="373" spans="1:26" x14ac:dyDescent="0.25">
      <c r="A373" s="9"/>
      <c r="B373" s="12" t="str">
        <f t="shared" si="21"/>
        <v xml:space="preserve"> </v>
      </c>
      <c r="C373" s="10" t="str">
        <f t="shared" si="20"/>
        <v xml:space="preserve"> </v>
      </c>
      <c r="D373" s="10">
        <f t="shared" si="22"/>
        <v>0</v>
      </c>
      <c r="E373" s="10">
        <f t="shared" si="23"/>
        <v>0</v>
      </c>
      <c r="W373" t="str">
        <f>IFERROR(MID(Проливка[[#This Row],[Штрихкод ]],1,FIND("-",Проливка[[#This Row],[Штрихкод ]],1)-1)," ")</f>
        <v xml:space="preserve"> </v>
      </c>
      <c r="X373" t="str">
        <f>IFERROR(RIGHT(Проливка[[#This Row],[Штрихкод ]],LEN(Проливка[[#This Row],[Штрихкод ]])-SEARCH("-",Проливка[[#This Row],[Штрихкод ]],1))," ")</f>
        <v xml:space="preserve"> </v>
      </c>
      <c r="Y373">
        <f>IFERROR(VLOOKUP(Проливка[[#This Row],[ID]]*1,'Срок хранения'!A373:B471,2,0),0)</f>
        <v>0</v>
      </c>
      <c r="Z373">
        <f>IFERROR(VLOOKUP(Проливка[[#This Row],[ID]]*1,'Срок хранения'!A373:C471,3,0),0)</f>
        <v>0</v>
      </c>
    </row>
    <row r="374" spans="1:26" x14ac:dyDescent="0.25">
      <c r="A374" s="9"/>
      <c r="B374" s="12" t="str">
        <f t="shared" si="21"/>
        <v xml:space="preserve"> </v>
      </c>
      <c r="C374" s="10" t="str">
        <f t="shared" si="20"/>
        <v xml:space="preserve"> </v>
      </c>
      <c r="D374" s="10">
        <f t="shared" si="22"/>
        <v>0</v>
      </c>
      <c r="E374" s="10">
        <f t="shared" si="23"/>
        <v>0</v>
      </c>
      <c r="W374" t="str">
        <f>IFERROR(MID(Проливка[[#This Row],[Штрихкод ]],1,FIND("-",Проливка[[#This Row],[Штрихкод ]],1)-1)," ")</f>
        <v xml:space="preserve"> </v>
      </c>
      <c r="X374" t="str">
        <f>IFERROR(RIGHT(Проливка[[#This Row],[Штрихкод ]],LEN(Проливка[[#This Row],[Штрихкод ]])-SEARCH("-",Проливка[[#This Row],[Штрихкод ]],1))," ")</f>
        <v xml:space="preserve"> </v>
      </c>
      <c r="Y374">
        <f>IFERROR(VLOOKUP(Проливка[[#This Row],[ID]]*1,'Срок хранения'!A374:B472,2,0),0)</f>
        <v>0</v>
      </c>
      <c r="Z374">
        <f>IFERROR(VLOOKUP(Проливка[[#This Row],[ID]]*1,'Срок хранения'!A374:C472,3,0),0)</f>
        <v>0</v>
      </c>
    </row>
    <row r="375" spans="1:26" x14ac:dyDescent="0.25">
      <c r="A375" s="9"/>
      <c r="B375" s="12" t="str">
        <f t="shared" si="21"/>
        <v xml:space="preserve"> </v>
      </c>
      <c r="C375" s="10" t="str">
        <f t="shared" si="20"/>
        <v xml:space="preserve"> </v>
      </c>
      <c r="D375" s="10">
        <f t="shared" si="22"/>
        <v>0</v>
      </c>
      <c r="E375" s="10">
        <f t="shared" si="23"/>
        <v>0</v>
      </c>
      <c r="W375" t="str">
        <f>IFERROR(MID(Проливка[[#This Row],[Штрихкод ]],1,FIND("-",Проливка[[#This Row],[Штрихкод ]],1)-1)," ")</f>
        <v xml:space="preserve"> </v>
      </c>
      <c r="X375" t="str">
        <f>IFERROR(RIGHT(Проливка[[#This Row],[Штрихкод ]],LEN(Проливка[[#This Row],[Штрихкод ]])-SEARCH("-",Проливка[[#This Row],[Штрихкод ]],1))," ")</f>
        <v xml:space="preserve"> </v>
      </c>
      <c r="Y375">
        <f>IFERROR(VLOOKUP(Проливка[[#This Row],[ID]]*1,'Срок хранения'!A375:B473,2,0),0)</f>
        <v>0</v>
      </c>
      <c r="Z375">
        <f>IFERROR(VLOOKUP(Проливка[[#This Row],[ID]]*1,'Срок хранения'!A375:C473,3,0),0)</f>
        <v>0</v>
      </c>
    </row>
    <row r="376" spans="1:26" x14ac:dyDescent="0.25">
      <c r="A376" s="9"/>
      <c r="B376" s="12" t="str">
        <f t="shared" si="21"/>
        <v xml:space="preserve"> </v>
      </c>
      <c r="C376" s="10" t="str">
        <f t="shared" si="20"/>
        <v xml:space="preserve"> </v>
      </c>
      <c r="D376" s="10">
        <f t="shared" si="22"/>
        <v>0</v>
      </c>
      <c r="E376" s="10">
        <f t="shared" si="23"/>
        <v>0</v>
      </c>
      <c r="W376" t="str">
        <f>IFERROR(MID(Проливка[[#This Row],[Штрихкод ]],1,FIND("-",Проливка[[#This Row],[Штрихкод ]],1)-1)," ")</f>
        <v xml:space="preserve"> </v>
      </c>
      <c r="X376" t="str">
        <f>IFERROR(RIGHT(Проливка[[#This Row],[Штрихкод ]],LEN(Проливка[[#This Row],[Штрихкод ]])-SEARCH("-",Проливка[[#This Row],[Штрихкод ]],1))," ")</f>
        <v xml:space="preserve"> </v>
      </c>
      <c r="Y376">
        <f>IFERROR(VLOOKUP(Проливка[[#This Row],[ID]]*1,'Срок хранения'!A376:B474,2,0),0)</f>
        <v>0</v>
      </c>
      <c r="Z376">
        <f>IFERROR(VLOOKUP(Проливка[[#This Row],[ID]]*1,'Срок хранения'!A376:C474,3,0),0)</f>
        <v>0</v>
      </c>
    </row>
    <row r="377" spans="1:26" x14ac:dyDescent="0.25">
      <c r="A377" s="9"/>
      <c r="B377" s="12" t="str">
        <f t="shared" si="21"/>
        <v xml:space="preserve"> </v>
      </c>
      <c r="C377" s="10" t="str">
        <f t="shared" si="20"/>
        <v xml:space="preserve"> </v>
      </c>
      <c r="D377" s="10">
        <f t="shared" si="22"/>
        <v>0</v>
      </c>
      <c r="E377" s="10">
        <f t="shared" si="23"/>
        <v>0</v>
      </c>
      <c r="W377" t="str">
        <f>IFERROR(MID(Проливка[[#This Row],[Штрихкод ]],1,FIND("-",Проливка[[#This Row],[Штрихкод ]],1)-1)," ")</f>
        <v xml:space="preserve"> </v>
      </c>
      <c r="X377" t="str">
        <f>IFERROR(RIGHT(Проливка[[#This Row],[Штрихкод ]],LEN(Проливка[[#This Row],[Штрихкод ]])-SEARCH("-",Проливка[[#This Row],[Штрихкод ]],1))," ")</f>
        <v xml:space="preserve"> </v>
      </c>
      <c r="Y377">
        <f>IFERROR(VLOOKUP(Проливка[[#This Row],[ID]]*1,'Срок хранения'!A377:B475,2,0),0)</f>
        <v>0</v>
      </c>
      <c r="Z377">
        <f>IFERROR(VLOOKUP(Проливка[[#This Row],[ID]]*1,'Срок хранения'!A377:C475,3,0),0)</f>
        <v>0</v>
      </c>
    </row>
    <row r="378" spans="1:26" x14ac:dyDescent="0.25">
      <c r="A378" s="9"/>
      <c r="B378" s="12" t="str">
        <f t="shared" si="21"/>
        <v xml:space="preserve"> </v>
      </c>
      <c r="C378" s="10" t="str">
        <f t="shared" si="20"/>
        <v xml:space="preserve"> </v>
      </c>
      <c r="D378" s="10">
        <f t="shared" si="22"/>
        <v>0</v>
      </c>
      <c r="E378" s="10">
        <f t="shared" si="23"/>
        <v>0</v>
      </c>
      <c r="W378" t="str">
        <f>IFERROR(MID(Проливка[[#This Row],[Штрихкод ]],1,FIND("-",Проливка[[#This Row],[Штрихкод ]],1)-1)," ")</f>
        <v xml:space="preserve"> </v>
      </c>
      <c r="X378" t="str">
        <f>IFERROR(RIGHT(Проливка[[#This Row],[Штрихкод ]],LEN(Проливка[[#This Row],[Штрихкод ]])-SEARCH("-",Проливка[[#This Row],[Штрихкод ]],1))," ")</f>
        <v xml:space="preserve"> </v>
      </c>
      <c r="Y378">
        <f>IFERROR(VLOOKUP(Проливка[[#This Row],[ID]]*1,'Срок хранения'!A378:B476,2,0),0)</f>
        <v>0</v>
      </c>
      <c r="Z378">
        <f>IFERROR(VLOOKUP(Проливка[[#This Row],[ID]]*1,'Срок хранения'!A378:C476,3,0),0)</f>
        <v>0</v>
      </c>
    </row>
    <row r="379" spans="1:26" x14ac:dyDescent="0.25">
      <c r="A379" s="9"/>
      <c r="B379" s="12" t="str">
        <f t="shared" si="21"/>
        <v xml:space="preserve"> </v>
      </c>
      <c r="C379" s="10" t="str">
        <f t="shared" si="20"/>
        <v xml:space="preserve"> </v>
      </c>
      <c r="D379" s="10">
        <f t="shared" si="22"/>
        <v>0</v>
      </c>
      <c r="E379" s="10">
        <f t="shared" si="23"/>
        <v>0</v>
      </c>
      <c r="W379" t="str">
        <f>IFERROR(MID(Проливка[[#This Row],[Штрихкод ]],1,FIND("-",Проливка[[#This Row],[Штрихкод ]],1)-1)," ")</f>
        <v xml:space="preserve"> </v>
      </c>
      <c r="X379" t="str">
        <f>IFERROR(RIGHT(Проливка[[#This Row],[Штрихкод ]],LEN(Проливка[[#This Row],[Штрихкод ]])-SEARCH("-",Проливка[[#This Row],[Штрихкод ]],1))," ")</f>
        <v xml:space="preserve"> </v>
      </c>
      <c r="Y379">
        <f>IFERROR(VLOOKUP(Проливка[[#This Row],[ID]]*1,'Срок хранения'!A379:B477,2,0),0)</f>
        <v>0</v>
      </c>
      <c r="Z379">
        <f>IFERROR(VLOOKUP(Проливка[[#This Row],[ID]]*1,'Срок хранения'!A379:C477,3,0),0)</f>
        <v>0</v>
      </c>
    </row>
    <row r="380" spans="1:26" x14ac:dyDescent="0.25">
      <c r="A380" s="9"/>
      <c r="B380" s="12" t="str">
        <f t="shared" si="21"/>
        <v xml:space="preserve"> </v>
      </c>
      <c r="C380" s="10" t="str">
        <f t="shared" si="20"/>
        <v xml:space="preserve"> </v>
      </c>
      <c r="D380" s="10">
        <f t="shared" si="22"/>
        <v>0</v>
      </c>
      <c r="E380" s="10">
        <f t="shared" si="23"/>
        <v>0</v>
      </c>
      <c r="W380" t="str">
        <f>IFERROR(MID(Проливка[[#This Row],[Штрихкод ]],1,FIND("-",Проливка[[#This Row],[Штрихкод ]],1)-1)," ")</f>
        <v xml:space="preserve"> </v>
      </c>
      <c r="X380" t="str">
        <f>IFERROR(RIGHT(Проливка[[#This Row],[Штрихкод ]],LEN(Проливка[[#This Row],[Штрихкод ]])-SEARCH("-",Проливка[[#This Row],[Штрихкод ]],1))," ")</f>
        <v xml:space="preserve"> </v>
      </c>
      <c r="Y380">
        <f>IFERROR(VLOOKUP(Проливка[[#This Row],[ID]]*1,'Срок хранения'!A380:B478,2,0),0)</f>
        <v>0</v>
      </c>
      <c r="Z380">
        <f>IFERROR(VLOOKUP(Проливка[[#This Row],[ID]]*1,'Срок хранения'!A380:C478,3,0),0)</f>
        <v>0</v>
      </c>
    </row>
    <row r="381" spans="1:26" x14ac:dyDescent="0.25">
      <c r="A381" s="9"/>
      <c r="B381" s="12" t="str">
        <f t="shared" si="21"/>
        <v xml:space="preserve"> </v>
      </c>
      <c r="C381" s="10" t="str">
        <f t="shared" si="20"/>
        <v xml:space="preserve"> </v>
      </c>
      <c r="D381" s="10">
        <f t="shared" si="22"/>
        <v>0</v>
      </c>
      <c r="E381" s="10">
        <f t="shared" si="23"/>
        <v>0</v>
      </c>
      <c r="W381" t="str">
        <f>IFERROR(MID(Проливка[[#This Row],[Штрихкод ]],1,FIND("-",Проливка[[#This Row],[Штрихкод ]],1)-1)," ")</f>
        <v xml:space="preserve"> </v>
      </c>
      <c r="X381" t="str">
        <f>IFERROR(RIGHT(Проливка[[#This Row],[Штрихкод ]],LEN(Проливка[[#This Row],[Штрихкод ]])-SEARCH("-",Проливка[[#This Row],[Штрихкод ]],1))," ")</f>
        <v xml:space="preserve"> </v>
      </c>
      <c r="Y381">
        <f>IFERROR(VLOOKUP(Проливка[[#This Row],[ID]]*1,'Срок хранения'!A381:B479,2,0),0)</f>
        <v>0</v>
      </c>
      <c r="Z381">
        <f>IFERROR(VLOOKUP(Проливка[[#This Row],[ID]]*1,'Срок хранения'!A381:C479,3,0),0)</f>
        <v>0</v>
      </c>
    </row>
    <row r="382" spans="1:26" x14ac:dyDescent="0.25">
      <c r="A382" s="9"/>
      <c r="B382" s="12" t="str">
        <f t="shared" si="21"/>
        <v xml:space="preserve"> </v>
      </c>
      <c r="C382" s="10" t="str">
        <f t="shared" si="20"/>
        <v xml:space="preserve"> </v>
      </c>
      <c r="D382" s="10">
        <f t="shared" si="22"/>
        <v>0</v>
      </c>
      <c r="E382" s="10">
        <f t="shared" si="23"/>
        <v>0</v>
      </c>
      <c r="W382" t="str">
        <f>IFERROR(MID(Проливка[[#This Row],[Штрихкод ]],1,FIND("-",Проливка[[#This Row],[Штрихкод ]],1)-1)," ")</f>
        <v xml:space="preserve"> </v>
      </c>
      <c r="X382" t="str">
        <f>IFERROR(RIGHT(Проливка[[#This Row],[Штрихкод ]],LEN(Проливка[[#This Row],[Штрихкод ]])-SEARCH("-",Проливка[[#This Row],[Штрихкод ]],1))," ")</f>
        <v xml:space="preserve"> </v>
      </c>
      <c r="Y382">
        <f>IFERROR(VLOOKUP(Проливка[[#This Row],[ID]]*1,'Срок хранения'!A382:B480,2,0),0)</f>
        <v>0</v>
      </c>
      <c r="Z382">
        <f>IFERROR(VLOOKUP(Проливка[[#This Row],[ID]]*1,'Срок хранения'!A382:C480,3,0),0)</f>
        <v>0</v>
      </c>
    </row>
    <row r="383" spans="1:26" x14ac:dyDescent="0.25">
      <c r="A383" s="9"/>
      <c r="B383" s="12" t="str">
        <f t="shared" si="21"/>
        <v xml:space="preserve"> </v>
      </c>
      <c r="C383" s="10" t="str">
        <f t="shared" si="20"/>
        <v xml:space="preserve"> </v>
      </c>
      <c r="D383" s="10">
        <f t="shared" si="22"/>
        <v>0</v>
      </c>
      <c r="E383" s="10">
        <f t="shared" si="23"/>
        <v>0</v>
      </c>
      <c r="W383" t="str">
        <f>IFERROR(MID(Проливка[[#This Row],[Штрихкод ]],1,FIND("-",Проливка[[#This Row],[Штрихкод ]],1)-1)," ")</f>
        <v xml:space="preserve"> </v>
      </c>
      <c r="X383" t="str">
        <f>IFERROR(RIGHT(Проливка[[#This Row],[Штрихкод ]],LEN(Проливка[[#This Row],[Штрихкод ]])-SEARCH("-",Проливка[[#This Row],[Штрихкод ]],1))," ")</f>
        <v xml:space="preserve"> </v>
      </c>
      <c r="Y383">
        <f>IFERROR(VLOOKUP(Проливка[[#This Row],[ID]]*1,'Срок хранения'!A383:B481,2,0),0)</f>
        <v>0</v>
      </c>
      <c r="Z383">
        <f>IFERROR(VLOOKUP(Проливка[[#This Row],[ID]]*1,'Срок хранения'!A383:C481,3,0),0)</f>
        <v>0</v>
      </c>
    </row>
    <row r="384" spans="1:26" x14ac:dyDescent="0.25">
      <c r="A384" s="9"/>
      <c r="B384" s="12" t="str">
        <f t="shared" si="21"/>
        <v xml:space="preserve"> </v>
      </c>
      <c r="C384" s="10" t="str">
        <f t="shared" si="20"/>
        <v xml:space="preserve"> </v>
      </c>
      <c r="D384" s="10">
        <f t="shared" si="22"/>
        <v>0</v>
      </c>
      <c r="E384" s="10">
        <f t="shared" si="23"/>
        <v>0</v>
      </c>
      <c r="W384" t="str">
        <f>IFERROR(MID(Проливка[[#This Row],[Штрихкод ]],1,FIND("-",Проливка[[#This Row],[Штрихкод ]],1)-1)," ")</f>
        <v xml:space="preserve"> </v>
      </c>
      <c r="X384" t="str">
        <f>IFERROR(RIGHT(Проливка[[#This Row],[Штрихкод ]],LEN(Проливка[[#This Row],[Штрихкод ]])-SEARCH("-",Проливка[[#This Row],[Штрихкод ]],1))," ")</f>
        <v xml:space="preserve"> </v>
      </c>
      <c r="Y384">
        <f>IFERROR(VLOOKUP(Проливка[[#This Row],[ID]]*1,'Срок хранения'!A384:B482,2,0),0)</f>
        <v>0</v>
      </c>
      <c r="Z384">
        <f>IFERROR(VLOOKUP(Проливка[[#This Row],[ID]]*1,'Срок хранения'!A384:C482,3,0),0)</f>
        <v>0</v>
      </c>
    </row>
    <row r="385" spans="1:26" x14ac:dyDescent="0.25">
      <c r="A385" s="9"/>
      <c r="B385" s="12" t="str">
        <f t="shared" si="21"/>
        <v xml:space="preserve"> </v>
      </c>
      <c r="C385" s="10" t="str">
        <f t="shared" si="20"/>
        <v xml:space="preserve"> </v>
      </c>
      <c r="D385" s="10">
        <f t="shared" si="22"/>
        <v>0</v>
      </c>
      <c r="E385" s="10">
        <f t="shared" si="23"/>
        <v>0</v>
      </c>
      <c r="W385" t="str">
        <f>IFERROR(MID(Проливка[[#This Row],[Штрихкод ]],1,FIND("-",Проливка[[#This Row],[Штрихкод ]],1)-1)," ")</f>
        <v xml:space="preserve"> </v>
      </c>
      <c r="X385" t="str">
        <f>IFERROR(RIGHT(Проливка[[#This Row],[Штрихкод ]],LEN(Проливка[[#This Row],[Штрихкод ]])-SEARCH("-",Проливка[[#This Row],[Штрихкод ]],1))," ")</f>
        <v xml:space="preserve"> </v>
      </c>
      <c r="Y385">
        <f>IFERROR(VLOOKUP(Проливка[[#This Row],[ID]]*1,'Срок хранения'!A385:B483,2,0),0)</f>
        <v>0</v>
      </c>
      <c r="Z385">
        <f>IFERROR(VLOOKUP(Проливка[[#This Row],[ID]]*1,'Срок хранения'!A385:C483,3,0),0)</f>
        <v>0</v>
      </c>
    </row>
    <row r="386" spans="1:26" x14ac:dyDescent="0.25">
      <c r="A386" s="9"/>
      <c r="B386" s="12" t="str">
        <f t="shared" si="21"/>
        <v xml:space="preserve"> </v>
      </c>
      <c r="C386" s="10" t="str">
        <f t="shared" ref="C386:C449" si="24">X386</f>
        <v xml:space="preserve"> </v>
      </c>
      <c r="D386" s="10">
        <f t="shared" si="22"/>
        <v>0</v>
      </c>
      <c r="E386" s="10">
        <f t="shared" si="23"/>
        <v>0</v>
      </c>
      <c r="W386" t="str">
        <f>IFERROR(MID(Проливка[[#This Row],[Штрихкод ]],1,FIND("-",Проливка[[#This Row],[Штрихкод ]],1)-1)," ")</f>
        <v xml:space="preserve"> </v>
      </c>
      <c r="X386" t="str">
        <f>IFERROR(RIGHT(Проливка[[#This Row],[Штрихкод ]],LEN(Проливка[[#This Row],[Штрихкод ]])-SEARCH("-",Проливка[[#This Row],[Штрихкод ]],1))," ")</f>
        <v xml:space="preserve"> </v>
      </c>
      <c r="Y386">
        <f>IFERROR(VLOOKUP(Проливка[[#This Row],[ID]]*1,'Срок хранения'!A386:B484,2,0),0)</f>
        <v>0</v>
      </c>
      <c r="Z386">
        <f>IFERROR(VLOOKUP(Проливка[[#This Row],[ID]]*1,'Срок хранения'!A386:C484,3,0),0)</f>
        <v>0</v>
      </c>
    </row>
    <row r="387" spans="1:26" x14ac:dyDescent="0.25">
      <c r="A387" s="9"/>
      <c r="B387" s="12" t="str">
        <f t="shared" ref="B387:B450" si="25">W387</f>
        <v xml:space="preserve"> </v>
      </c>
      <c r="C387" s="10" t="str">
        <f t="shared" si="24"/>
        <v xml:space="preserve"> </v>
      </c>
      <c r="D387" s="10">
        <f t="shared" ref="D387:D450" si="26">Y387</f>
        <v>0</v>
      </c>
      <c r="E387" s="10">
        <f t="shared" ref="E387:E450" si="27">Z387</f>
        <v>0</v>
      </c>
      <c r="W387" t="str">
        <f>IFERROR(MID(Проливка[[#This Row],[Штрихкод ]],1,FIND("-",Проливка[[#This Row],[Штрихкод ]],1)-1)," ")</f>
        <v xml:space="preserve"> </v>
      </c>
      <c r="X387" t="str">
        <f>IFERROR(RIGHT(Проливка[[#This Row],[Штрихкод ]],LEN(Проливка[[#This Row],[Штрихкод ]])-SEARCH("-",Проливка[[#This Row],[Штрихкод ]],1))," ")</f>
        <v xml:space="preserve"> </v>
      </c>
      <c r="Y387">
        <f>IFERROR(VLOOKUP(Проливка[[#This Row],[ID]]*1,'Срок хранения'!A387:B485,2,0),0)</f>
        <v>0</v>
      </c>
      <c r="Z387">
        <f>IFERROR(VLOOKUP(Проливка[[#This Row],[ID]]*1,'Срок хранения'!A387:C485,3,0),0)</f>
        <v>0</v>
      </c>
    </row>
    <row r="388" spans="1:26" x14ac:dyDescent="0.25">
      <c r="A388" s="9"/>
      <c r="B388" s="12" t="str">
        <f t="shared" si="25"/>
        <v xml:space="preserve"> </v>
      </c>
      <c r="C388" s="10" t="str">
        <f t="shared" si="24"/>
        <v xml:space="preserve"> </v>
      </c>
      <c r="D388" s="10">
        <f t="shared" si="26"/>
        <v>0</v>
      </c>
      <c r="E388" s="10">
        <f t="shared" si="27"/>
        <v>0</v>
      </c>
      <c r="W388" t="str">
        <f>IFERROR(MID(Проливка[[#This Row],[Штрихкод ]],1,FIND("-",Проливка[[#This Row],[Штрихкод ]],1)-1)," ")</f>
        <v xml:space="preserve"> </v>
      </c>
      <c r="X388" t="str">
        <f>IFERROR(RIGHT(Проливка[[#This Row],[Штрихкод ]],LEN(Проливка[[#This Row],[Штрихкод ]])-SEARCH("-",Проливка[[#This Row],[Штрихкод ]],1))," ")</f>
        <v xml:space="preserve"> </v>
      </c>
      <c r="Y388">
        <f>IFERROR(VLOOKUP(Проливка[[#This Row],[ID]]*1,'Срок хранения'!A388:B486,2,0),0)</f>
        <v>0</v>
      </c>
      <c r="Z388">
        <f>IFERROR(VLOOKUP(Проливка[[#This Row],[ID]]*1,'Срок хранения'!A388:C486,3,0),0)</f>
        <v>0</v>
      </c>
    </row>
    <row r="389" spans="1:26" x14ac:dyDescent="0.25">
      <c r="A389" s="9"/>
      <c r="B389" s="12" t="str">
        <f t="shared" si="25"/>
        <v xml:space="preserve"> </v>
      </c>
      <c r="C389" s="10" t="str">
        <f t="shared" si="24"/>
        <v xml:space="preserve"> </v>
      </c>
      <c r="D389" s="10">
        <f t="shared" si="26"/>
        <v>0</v>
      </c>
      <c r="E389" s="10">
        <f t="shared" si="27"/>
        <v>0</v>
      </c>
      <c r="W389" t="str">
        <f>IFERROR(MID(Проливка[[#This Row],[Штрихкод ]],1,FIND("-",Проливка[[#This Row],[Штрихкод ]],1)-1)," ")</f>
        <v xml:space="preserve"> </v>
      </c>
      <c r="X389" t="str">
        <f>IFERROR(RIGHT(Проливка[[#This Row],[Штрихкод ]],LEN(Проливка[[#This Row],[Штрихкод ]])-SEARCH("-",Проливка[[#This Row],[Штрихкод ]],1))," ")</f>
        <v xml:space="preserve"> </v>
      </c>
      <c r="Y389">
        <f>IFERROR(VLOOKUP(Проливка[[#This Row],[ID]]*1,'Срок хранения'!A389:B487,2,0),0)</f>
        <v>0</v>
      </c>
      <c r="Z389">
        <f>IFERROR(VLOOKUP(Проливка[[#This Row],[ID]]*1,'Срок хранения'!A389:C487,3,0),0)</f>
        <v>0</v>
      </c>
    </row>
    <row r="390" spans="1:26" x14ac:dyDescent="0.25">
      <c r="A390" s="9"/>
      <c r="B390" s="12" t="str">
        <f t="shared" si="25"/>
        <v xml:space="preserve"> </v>
      </c>
      <c r="C390" s="10" t="str">
        <f t="shared" si="24"/>
        <v xml:space="preserve"> </v>
      </c>
      <c r="D390" s="10">
        <f t="shared" si="26"/>
        <v>0</v>
      </c>
      <c r="E390" s="10">
        <f t="shared" si="27"/>
        <v>0</v>
      </c>
      <c r="W390" t="str">
        <f>IFERROR(MID(Проливка[[#This Row],[Штрихкод ]],1,FIND("-",Проливка[[#This Row],[Штрихкод ]],1)-1)," ")</f>
        <v xml:space="preserve"> </v>
      </c>
      <c r="X390" t="str">
        <f>IFERROR(RIGHT(Проливка[[#This Row],[Штрихкод ]],LEN(Проливка[[#This Row],[Штрихкод ]])-SEARCH("-",Проливка[[#This Row],[Штрихкод ]],1))," ")</f>
        <v xml:space="preserve"> </v>
      </c>
      <c r="Y390">
        <f>IFERROR(VLOOKUP(Проливка[[#This Row],[ID]]*1,'Срок хранения'!A390:B488,2,0),0)</f>
        <v>0</v>
      </c>
      <c r="Z390">
        <f>IFERROR(VLOOKUP(Проливка[[#This Row],[ID]]*1,'Срок хранения'!A390:C488,3,0),0)</f>
        <v>0</v>
      </c>
    </row>
    <row r="391" spans="1:26" x14ac:dyDescent="0.25">
      <c r="A391" s="9"/>
      <c r="B391" s="12" t="str">
        <f t="shared" si="25"/>
        <v xml:space="preserve"> </v>
      </c>
      <c r="C391" s="10" t="str">
        <f t="shared" si="24"/>
        <v xml:space="preserve"> </v>
      </c>
      <c r="D391" s="10">
        <f t="shared" si="26"/>
        <v>0</v>
      </c>
      <c r="E391" s="10">
        <f t="shared" si="27"/>
        <v>0</v>
      </c>
      <c r="W391" t="str">
        <f>IFERROR(MID(Проливка[[#This Row],[Штрихкод ]],1,FIND("-",Проливка[[#This Row],[Штрихкод ]],1)-1)," ")</f>
        <v xml:space="preserve"> </v>
      </c>
      <c r="X391" t="str">
        <f>IFERROR(RIGHT(Проливка[[#This Row],[Штрихкод ]],LEN(Проливка[[#This Row],[Штрихкод ]])-SEARCH("-",Проливка[[#This Row],[Штрихкод ]],1))," ")</f>
        <v xml:space="preserve"> </v>
      </c>
      <c r="Y391">
        <f>IFERROR(VLOOKUP(Проливка[[#This Row],[ID]]*1,'Срок хранения'!A391:B489,2,0),0)</f>
        <v>0</v>
      </c>
      <c r="Z391">
        <f>IFERROR(VLOOKUP(Проливка[[#This Row],[ID]]*1,'Срок хранения'!A391:C489,3,0),0)</f>
        <v>0</v>
      </c>
    </row>
    <row r="392" spans="1:26" x14ac:dyDescent="0.25">
      <c r="A392" s="9"/>
      <c r="B392" s="12" t="str">
        <f t="shared" si="25"/>
        <v xml:space="preserve"> </v>
      </c>
      <c r="C392" s="10" t="str">
        <f t="shared" si="24"/>
        <v xml:space="preserve"> </v>
      </c>
      <c r="D392" s="10">
        <f t="shared" si="26"/>
        <v>0</v>
      </c>
      <c r="E392" s="10">
        <f t="shared" si="27"/>
        <v>0</v>
      </c>
      <c r="W392" t="str">
        <f>IFERROR(MID(Проливка[[#This Row],[Штрихкод ]],1,FIND("-",Проливка[[#This Row],[Штрихкод ]],1)-1)," ")</f>
        <v xml:space="preserve"> </v>
      </c>
      <c r="X392" t="str">
        <f>IFERROR(RIGHT(Проливка[[#This Row],[Штрихкод ]],LEN(Проливка[[#This Row],[Штрихкод ]])-SEARCH("-",Проливка[[#This Row],[Штрихкод ]],1))," ")</f>
        <v xml:space="preserve"> </v>
      </c>
      <c r="Y392">
        <f>IFERROR(VLOOKUP(Проливка[[#This Row],[ID]]*1,'Срок хранения'!A392:B490,2,0),0)</f>
        <v>0</v>
      </c>
      <c r="Z392">
        <f>IFERROR(VLOOKUP(Проливка[[#This Row],[ID]]*1,'Срок хранения'!A392:C490,3,0),0)</f>
        <v>0</v>
      </c>
    </row>
    <row r="393" spans="1:26" x14ac:dyDescent="0.25">
      <c r="A393" s="9"/>
      <c r="B393" s="12" t="str">
        <f t="shared" si="25"/>
        <v xml:space="preserve"> </v>
      </c>
      <c r="C393" s="10" t="str">
        <f t="shared" si="24"/>
        <v xml:space="preserve"> </v>
      </c>
      <c r="D393" s="10">
        <f t="shared" si="26"/>
        <v>0</v>
      </c>
      <c r="E393" s="10">
        <f t="shared" si="27"/>
        <v>0</v>
      </c>
      <c r="W393" t="str">
        <f>IFERROR(MID(Проливка[[#This Row],[Штрихкод ]],1,FIND("-",Проливка[[#This Row],[Штрихкод ]],1)-1)," ")</f>
        <v xml:space="preserve"> </v>
      </c>
      <c r="X393" t="str">
        <f>IFERROR(RIGHT(Проливка[[#This Row],[Штрихкод ]],LEN(Проливка[[#This Row],[Штрихкод ]])-SEARCH("-",Проливка[[#This Row],[Штрихкод ]],1))," ")</f>
        <v xml:space="preserve"> </v>
      </c>
      <c r="Y393">
        <f>IFERROR(VLOOKUP(Проливка[[#This Row],[ID]]*1,'Срок хранения'!A393:B491,2,0),0)</f>
        <v>0</v>
      </c>
      <c r="Z393">
        <f>IFERROR(VLOOKUP(Проливка[[#This Row],[ID]]*1,'Срок хранения'!A393:C491,3,0),0)</f>
        <v>0</v>
      </c>
    </row>
    <row r="394" spans="1:26" x14ac:dyDescent="0.25">
      <c r="A394" s="9"/>
      <c r="B394" s="12" t="str">
        <f t="shared" si="25"/>
        <v xml:space="preserve"> </v>
      </c>
      <c r="C394" s="10" t="str">
        <f t="shared" si="24"/>
        <v xml:space="preserve"> </v>
      </c>
      <c r="D394" s="10">
        <f t="shared" si="26"/>
        <v>0</v>
      </c>
      <c r="E394" s="10">
        <f t="shared" si="27"/>
        <v>0</v>
      </c>
      <c r="W394" t="str">
        <f>IFERROR(MID(Проливка[[#This Row],[Штрихкод ]],1,FIND("-",Проливка[[#This Row],[Штрихкод ]],1)-1)," ")</f>
        <v xml:space="preserve"> </v>
      </c>
      <c r="X394" t="str">
        <f>IFERROR(RIGHT(Проливка[[#This Row],[Штрихкод ]],LEN(Проливка[[#This Row],[Штрихкод ]])-SEARCH("-",Проливка[[#This Row],[Штрихкод ]],1))," ")</f>
        <v xml:space="preserve"> </v>
      </c>
      <c r="Y394">
        <f>IFERROR(VLOOKUP(Проливка[[#This Row],[ID]]*1,'Срок хранения'!A394:B492,2,0),0)</f>
        <v>0</v>
      </c>
      <c r="Z394">
        <f>IFERROR(VLOOKUP(Проливка[[#This Row],[ID]]*1,'Срок хранения'!A394:C492,3,0),0)</f>
        <v>0</v>
      </c>
    </row>
    <row r="395" spans="1:26" x14ac:dyDescent="0.25">
      <c r="A395" s="9"/>
      <c r="B395" s="12" t="str">
        <f t="shared" si="25"/>
        <v xml:space="preserve"> </v>
      </c>
      <c r="C395" s="10" t="str">
        <f t="shared" si="24"/>
        <v xml:space="preserve"> </v>
      </c>
      <c r="D395" s="10">
        <f t="shared" si="26"/>
        <v>0</v>
      </c>
      <c r="E395" s="10">
        <f t="shared" si="27"/>
        <v>0</v>
      </c>
      <c r="W395" t="str">
        <f>IFERROR(MID(Проливка[[#This Row],[Штрихкод ]],1,FIND("-",Проливка[[#This Row],[Штрихкод ]],1)-1)," ")</f>
        <v xml:space="preserve"> </v>
      </c>
      <c r="X395" t="str">
        <f>IFERROR(RIGHT(Проливка[[#This Row],[Штрихкод ]],LEN(Проливка[[#This Row],[Штрихкод ]])-SEARCH("-",Проливка[[#This Row],[Штрихкод ]],1))," ")</f>
        <v xml:space="preserve"> </v>
      </c>
      <c r="Y395">
        <f>IFERROR(VLOOKUP(Проливка[[#This Row],[ID]]*1,'Срок хранения'!A395:B493,2,0),0)</f>
        <v>0</v>
      </c>
      <c r="Z395">
        <f>IFERROR(VLOOKUP(Проливка[[#This Row],[ID]]*1,'Срок хранения'!A395:C493,3,0),0)</f>
        <v>0</v>
      </c>
    </row>
    <row r="396" spans="1:26" x14ac:dyDescent="0.25">
      <c r="A396" s="9"/>
      <c r="B396" s="12" t="str">
        <f t="shared" si="25"/>
        <v xml:space="preserve"> </v>
      </c>
      <c r="C396" s="10" t="str">
        <f t="shared" si="24"/>
        <v xml:space="preserve"> </v>
      </c>
      <c r="D396" s="10">
        <f t="shared" si="26"/>
        <v>0</v>
      </c>
      <c r="E396" s="10">
        <f t="shared" si="27"/>
        <v>0</v>
      </c>
      <c r="W396" t="str">
        <f>IFERROR(MID(Проливка[[#This Row],[Штрихкод ]],1,FIND("-",Проливка[[#This Row],[Штрихкод ]],1)-1)," ")</f>
        <v xml:space="preserve"> </v>
      </c>
      <c r="X396" t="str">
        <f>IFERROR(RIGHT(Проливка[[#This Row],[Штрихкод ]],LEN(Проливка[[#This Row],[Штрихкод ]])-SEARCH("-",Проливка[[#This Row],[Штрихкод ]],1))," ")</f>
        <v xml:space="preserve"> </v>
      </c>
      <c r="Y396">
        <f>IFERROR(VLOOKUP(Проливка[[#This Row],[ID]]*1,'Срок хранения'!A396:B494,2,0),0)</f>
        <v>0</v>
      </c>
      <c r="Z396">
        <f>IFERROR(VLOOKUP(Проливка[[#This Row],[ID]]*1,'Срок хранения'!A396:C494,3,0),0)</f>
        <v>0</v>
      </c>
    </row>
    <row r="397" spans="1:26" x14ac:dyDescent="0.25">
      <c r="A397" s="9"/>
      <c r="B397" s="12" t="str">
        <f t="shared" si="25"/>
        <v xml:space="preserve"> </v>
      </c>
      <c r="C397" s="10" t="str">
        <f t="shared" si="24"/>
        <v xml:space="preserve"> </v>
      </c>
      <c r="D397" s="10">
        <f t="shared" si="26"/>
        <v>0</v>
      </c>
      <c r="E397" s="10">
        <f t="shared" si="27"/>
        <v>0</v>
      </c>
      <c r="W397" t="str">
        <f>IFERROR(MID(Проливка[[#This Row],[Штрихкод ]],1,FIND("-",Проливка[[#This Row],[Штрихкод ]],1)-1)," ")</f>
        <v xml:space="preserve"> </v>
      </c>
      <c r="X397" t="str">
        <f>IFERROR(RIGHT(Проливка[[#This Row],[Штрихкод ]],LEN(Проливка[[#This Row],[Штрихкод ]])-SEARCH("-",Проливка[[#This Row],[Штрихкод ]],1))," ")</f>
        <v xml:space="preserve"> </v>
      </c>
      <c r="Y397">
        <f>IFERROR(VLOOKUP(Проливка[[#This Row],[ID]]*1,'Срок хранения'!A397:B495,2,0),0)</f>
        <v>0</v>
      </c>
      <c r="Z397">
        <f>IFERROR(VLOOKUP(Проливка[[#This Row],[ID]]*1,'Срок хранения'!A397:C495,3,0),0)</f>
        <v>0</v>
      </c>
    </row>
    <row r="398" spans="1:26" x14ac:dyDescent="0.25">
      <c r="A398" s="9"/>
      <c r="B398" s="12" t="str">
        <f t="shared" si="25"/>
        <v xml:space="preserve"> </v>
      </c>
      <c r="C398" s="10" t="str">
        <f t="shared" si="24"/>
        <v xml:space="preserve"> </v>
      </c>
      <c r="D398" s="10">
        <f t="shared" si="26"/>
        <v>0</v>
      </c>
      <c r="E398" s="10">
        <f t="shared" si="27"/>
        <v>0</v>
      </c>
      <c r="W398" t="str">
        <f>IFERROR(MID(Проливка[[#This Row],[Штрихкод ]],1,FIND("-",Проливка[[#This Row],[Штрихкод ]],1)-1)," ")</f>
        <v xml:space="preserve"> </v>
      </c>
      <c r="X398" t="str">
        <f>IFERROR(RIGHT(Проливка[[#This Row],[Штрихкод ]],LEN(Проливка[[#This Row],[Штрихкод ]])-SEARCH("-",Проливка[[#This Row],[Штрихкод ]],1))," ")</f>
        <v xml:space="preserve"> </v>
      </c>
      <c r="Y398">
        <f>IFERROR(VLOOKUP(Проливка[[#This Row],[ID]]*1,'Срок хранения'!A398:B496,2,0),0)</f>
        <v>0</v>
      </c>
      <c r="Z398">
        <f>IFERROR(VLOOKUP(Проливка[[#This Row],[ID]]*1,'Срок хранения'!A398:C496,3,0),0)</f>
        <v>0</v>
      </c>
    </row>
    <row r="399" spans="1:26" x14ac:dyDescent="0.25">
      <c r="A399" s="9"/>
      <c r="B399" s="12" t="str">
        <f t="shared" si="25"/>
        <v xml:space="preserve"> </v>
      </c>
      <c r="C399" s="10" t="str">
        <f t="shared" si="24"/>
        <v xml:space="preserve"> </v>
      </c>
      <c r="D399" s="10">
        <f t="shared" si="26"/>
        <v>0</v>
      </c>
      <c r="E399" s="10">
        <f t="shared" si="27"/>
        <v>0</v>
      </c>
      <c r="W399" t="str">
        <f>IFERROR(MID(Проливка[[#This Row],[Штрихкод ]],1,FIND("-",Проливка[[#This Row],[Штрихкод ]],1)-1)," ")</f>
        <v xml:space="preserve"> </v>
      </c>
      <c r="X399" t="str">
        <f>IFERROR(RIGHT(Проливка[[#This Row],[Штрихкод ]],LEN(Проливка[[#This Row],[Штрихкод ]])-SEARCH("-",Проливка[[#This Row],[Штрихкод ]],1))," ")</f>
        <v xml:space="preserve"> </v>
      </c>
      <c r="Y399">
        <f>IFERROR(VLOOKUP(Проливка[[#This Row],[ID]]*1,'Срок хранения'!A399:B497,2,0),0)</f>
        <v>0</v>
      </c>
      <c r="Z399">
        <f>IFERROR(VLOOKUP(Проливка[[#This Row],[ID]]*1,'Срок хранения'!A399:C497,3,0),0)</f>
        <v>0</v>
      </c>
    </row>
    <row r="400" spans="1:26" x14ac:dyDescent="0.25">
      <c r="A400" s="9"/>
      <c r="B400" s="12" t="str">
        <f t="shared" si="25"/>
        <v xml:space="preserve"> </v>
      </c>
      <c r="C400" s="10" t="str">
        <f t="shared" si="24"/>
        <v xml:space="preserve"> </v>
      </c>
      <c r="D400" s="10">
        <f t="shared" si="26"/>
        <v>0</v>
      </c>
      <c r="E400" s="10">
        <f t="shared" si="27"/>
        <v>0</v>
      </c>
      <c r="W400" t="str">
        <f>IFERROR(MID(Проливка[[#This Row],[Штрихкод ]],1,FIND("-",Проливка[[#This Row],[Штрихкод ]],1)-1)," ")</f>
        <v xml:space="preserve"> </v>
      </c>
      <c r="X400" t="str">
        <f>IFERROR(RIGHT(Проливка[[#This Row],[Штрихкод ]],LEN(Проливка[[#This Row],[Штрихкод ]])-SEARCH("-",Проливка[[#This Row],[Штрихкод ]],1))," ")</f>
        <v xml:space="preserve"> </v>
      </c>
      <c r="Y400">
        <f>IFERROR(VLOOKUP(Проливка[[#This Row],[ID]]*1,'Срок хранения'!A400:B498,2,0),0)</f>
        <v>0</v>
      </c>
      <c r="Z400">
        <f>IFERROR(VLOOKUP(Проливка[[#This Row],[ID]]*1,'Срок хранения'!A400:C498,3,0),0)</f>
        <v>0</v>
      </c>
    </row>
    <row r="401" spans="1:26" x14ac:dyDescent="0.25">
      <c r="A401" s="9"/>
      <c r="B401" s="12" t="str">
        <f t="shared" si="25"/>
        <v xml:space="preserve"> </v>
      </c>
      <c r="C401" s="10" t="str">
        <f t="shared" si="24"/>
        <v xml:space="preserve"> </v>
      </c>
      <c r="D401" s="10">
        <f t="shared" si="26"/>
        <v>0</v>
      </c>
      <c r="E401" s="10">
        <f t="shared" si="27"/>
        <v>0</v>
      </c>
      <c r="W401" t="str">
        <f>IFERROR(MID(Проливка[[#This Row],[Штрихкод ]],1,FIND("-",Проливка[[#This Row],[Штрихкод ]],1)-1)," ")</f>
        <v xml:space="preserve"> </v>
      </c>
      <c r="X401" t="str">
        <f>IFERROR(RIGHT(Проливка[[#This Row],[Штрихкод ]],LEN(Проливка[[#This Row],[Штрихкод ]])-SEARCH("-",Проливка[[#This Row],[Штрихкод ]],1))," ")</f>
        <v xml:space="preserve"> </v>
      </c>
      <c r="Y401">
        <f>IFERROR(VLOOKUP(Проливка[[#This Row],[ID]]*1,'Срок хранения'!A401:B499,2,0),0)</f>
        <v>0</v>
      </c>
      <c r="Z401">
        <f>IFERROR(VLOOKUP(Проливка[[#This Row],[ID]]*1,'Срок хранения'!A401:C499,3,0),0)</f>
        <v>0</v>
      </c>
    </row>
    <row r="402" spans="1:26" x14ac:dyDescent="0.25">
      <c r="A402" s="9"/>
      <c r="B402" s="12" t="str">
        <f t="shared" si="25"/>
        <v xml:space="preserve"> </v>
      </c>
      <c r="C402" s="10" t="str">
        <f t="shared" si="24"/>
        <v xml:space="preserve"> </v>
      </c>
      <c r="D402" s="10">
        <f t="shared" si="26"/>
        <v>0</v>
      </c>
      <c r="E402" s="10">
        <f t="shared" si="27"/>
        <v>0</v>
      </c>
      <c r="W402" t="str">
        <f>IFERROR(MID(Проливка[[#This Row],[Штрихкод ]],1,FIND("-",Проливка[[#This Row],[Штрихкод ]],1)-1)," ")</f>
        <v xml:space="preserve"> </v>
      </c>
      <c r="X402" t="str">
        <f>IFERROR(RIGHT(Проливка[[#This Row],[Штрихкод ]],LEN(Проливка[[#This Row],[Штрихкод ]])-SEARCH("-",Проливка[[#This Row],[Штрихкод ]],1))," ")</f>
        <v xml:space="preserve"> </v>
      </c>
      <c r="Y402">
        <f>IFERROR(VLOOKUP(Проливка[[#This Row],[ID]]*1,'Срок хранения'!A402:B500,2,0),0)</f>
        <v>0</v>
      </c>
      <c r="Z402">
        <f>IFERROR(VLOOKUP(Проливка[[#This Row],[ID]]*1,'Срок хранения'!A402:C500,3,0),0)</f>
        <v>0</v>
      </c>
    </row>
    <row r="403" spans="1:26" x14ac:dyDescent="0.25">
      <c r="A403" s="9"/>
      <c r="B403" s="12" t="str">
        <f t="shared" si="25"/>
        <v xml:space="preserve"> </v>
      </c>
      <c r="C403" s="10" t="str">
        <f t="shared" si="24"/>
        <v xml:space="preserve"> </v>
      </c>
      <c r="D403" s="10">
        <f t="shared" si="26"/>
        <v>0</v>
      </c>
      <c r="E403" s="10">
        <f t="shared" si="27"/>
        <v>0</v>
      </c>
      <c r="W403" t="str">
        <f>IFERROR(MID(Проливка[[#This Row],[Штрихкод ]],1,FIND("-",Проливка[[#This Row],[Штрихкод ]],1)-1)," ")</f>
        <v xml:space="preserve"> </v>
      </c>
      <c r="X403" t="str">
        <f>IFERROR(RIGHT(Проливка[[#This Row],[Штрихкод ]],LEN(Проливка[[#This Row],[Штрихкод ]])-SEARCH("-",Проливка[[#This Row],[Штрихкод ]],1))," ")</f>
        <v xml:space="preserve"> </v>
      </c>
      <c r="Y403">
        <f>IFERROR(VLOOKUP(Проливка[[#This Row],[ID]]*1,'Срок хранения'!A403:B501,2,0),0)</f>
        <v>0</v>
      </c>
      <c r="Z403">
        <f>IFERROR(VLOOKUP(Проливка[[#This Row],[ID]]*1,'Срок хранения'!A403:C501,3,0),0)</f>
        <v>0</v>
      </c>
    </row>
    <row r="404" spans="1:26" x14ac:dyDescent="0.25">
      <c r="A404" s="9"/>
      <c r="B404" s="12" t="str">
        <f t="shared" si="25"/>
        <v xml:space="preserve"> </v>
      </c>
      <c r="C404" s="10" t="str">
        <f t="shared" si="24"/>
        <v xml:space="preserve"> </v>
      </c>
      <c r="D404" s="10">
        <f t="shared" si="26"/>
        <v>0</v>
      </c>
      <c r="E404" s="10">
        <f t="shared" si="27"/>
        <v>0</v>
      </c>
      <c r="W404" t="str">
        <f>IFERROR(MID(Проливка[[#This Row],[Штрихкод ]],1,FIND("-",Проливка[[#This Row],[Штрихкод ]],1)-1)," ")</f>
        <v xml:space="preserve"> </v>
      </c>
      <c r="X404" t="str">
        <f>IFERROR(RIGHT(Проливка[[#This Row],[Штрихкод ]],LEN(Проливка[[#This Row],[Штрихкод ]])-SEARCH("-",Проливка[[#This Row],[Штрихкод ]],1))," ")</f>
        <v xml:space="preserve"> </v>
      </c>
      <c r="Y404">
        <f>IFERROR(VLOOKUP(Проливка[[#This Row],[ID]]*1,'Срок хранения'!A404:B502,2,0),0)</f>
        <v>0</v>
      </c>
      <c r="Z404">
        <f>IFERROR(VLOOKUP(Проливка[[#This Row],[ID]]*1,'Срок хранения'!A404:C502,3,0),0)</f>
        <v>0</v>
      </c>
    </row>
    <row r="405" spans="1:26" x14ac:dyDescent="0.25">
      <c r="A405" s="9"/>
      <c r="B405" s="12" t="str">
        <f t="shared" si="25"/>
        <v xml:space="preserve"> </v>
      </c>
      <c r="C405" s="10" t="str">
        <f t="shared" si="24"/>
        <v xml:space="preserve"> </v>
      </c>
      <c r="D405" s="10">
        <f t="shared" si="26"/>
        <v>0</v>
      </c>
      <c r="E405" s="10">
        <f t="shared" si="27"/>
        <v>0</v>
      </c>
      <c r="W405" t="str">
        <f>IFERROR(MID(Проливка[[#This Row],[Штрихкод ]],1,FIND("-",Проливка[[#This Row],[Штрихкод ]],1)-1)," ")</f>
        <v xml:space="preserve"> </v>
      </c>
      <c r="X405" t="str">
        <f>IFERROR(RIGHT(Проливка[[#This Row],[Штрихкод ]],LEN(Проливка[[#This Row],[Штрихкод ]])-SEARCH("-",Проливка[[#This Row],[Штрихкод ]],1))," ")</f>
        <v xml:space="preserve"> </v>
      </c>
      <c r="Y405">
        <f>IFERROR(VLOOKUP(Проливка[[#This Row],[ID]]*1,'Срок хранения'!A405:B503,2,0),0)</f>
        <v>0</v>
      </c>
      <c r="Z405">
        <f>IFERROR(VLOOKUP(Проливка[[#This Row],[ID]]*1,'Срок хранения'!A405:C503,3,0),0)</f>
        <v>0</v>
      </c>
    </row>
    <row r="406" spans="1:26" x14ac:dyDescent="0.25">
      <c r="A406" s="9"/>
      <c r="B406" s="12" t="str">
        <f t="shared" si="25"/>
        <v xml:space="preserve"> </v>
      </c>
      <c r="C406" s="10" t="str">
        <f t="shared" si="24"/>
        <v xml:space="preserve"> </v>
      </c>
      <c r="D406" s="10">
        <f t="shared" si="26"/>
        <v>0</v>
      </c>
      <c r="E406" s="10">
        <f t="shared" si="27"/>
        <v>0</v>
      </c>
      <c r="W406" t="str">
        <f>IFERROR(MID(Проливка[[#This Row],[Штрихкод ]],1,FIND("-",Проливка[[#This Row],[Штрихкод ]],1)-1)," ")</f>
        <v xml:space="preserve"> </v>
      </c>
      <c r="X406" t="str">
        <f>IFERROR(RIGHT(Проливка[[#This Row],[Штрихкод ]],LEN(Проливка[[#This Row],[Штрихкод ]])-SEARCH("-",Проливка[[#This Row],[Штрихкод ]],1))," ")</f>
        <v xml:space="preserve"> </v>
      </c>
      <c r="Y406">
        <f>IFERROR(VLOOKUP(Проливка[[#This Row],[ID]]*1,'Срок хранения'!A406:B504,2,0),0)</f>
        <v>0</v>
      </c>
      <c r="Z406">
        <f>IFERROR(VLOOKUP(Проливка[[#This Row],[ID]]*1,'Срок хранения'!A406:C504,3,0),0)</f>
        <v>0</v>
      </c>
    </row>
    <row r="407" spans="1:26" x14ac:dyDescent="0.25">
      <c r="A407" s="9"/>
      <c r="B407" s="12" t="str">
        <f t="shared" si="25"/>
        <v xml:space="preserve"> </v>
      </c>
      <c r="C407" s="10" t="str">
        <f t="shared" si="24"/>
        <v xml:space="preserve"> </v>
      </c>
      <c r="D407" s="10">
        <f t="shared" si="26"/>
        <v>0</v>
      </c>
      <c r="E407" s="10">
        <f t="shared" si="27"/>
        <v>0</v>
      </c>
      <c r="W407" t="str">
        <f>IFERROR(MID(Проливка[[#This Row],[Штрихкод ]],1,FIND("-",Проливка[[#This Row],[Штрихкод ]],1)-1)," ")</f>
        <v xml:space="preserve"> </v>
      </c>
      <c r="X407" t="str">
        <f>IFERROR(RIGHT(Проливка[[#This Row],[Штрихкод ]],LEN(Проливка[[#This Row],[Штрихкод ]])-SEARCH("-",Проливка[[#This Row],[Штрихкод ]],1))," ")</f>
        <v xml:space="preserve"> </v>
      </c>
      <c r="Y407">
        <f>IFERROR(VLOOKUP(Проливка[[#This Row],[ID]]*1,'Срок хранения'!A407:B505,2,0),0)</f>
        <v>0</v>
      </c>
      <c r="Z407">
        <f>IFERROR(VLOOKUP(Проливка[[#This Row],[ID]]*1,'Срок хранения'!A407:C505,3,0),0)</f>
        <v>0</v>
      </c>
    </row>
    <row r="408" spans="1:26" x14ac:dyDescent="0.25">
      <c r="A408" s="9"/>
      <c r="B408" s="12" t="str">
        <f t="shared" si="25"/>
        <v xml:space="preserve"> </v>
      </c>
      <c r="C408" s="10" t="str">
        <f t="shared" si="24"/>
        <v xml:space="preserve"> </v>
      </c>
      <c r="D408" s="10">
        <f t="shared" si="26"/>
        <v>0</v>
      </c>
      <c r="E408" s="10">
        <f t="shared" si="27"/>
        <v>0</v>
      </c>
      <c r="W408" t="str">
        <f>IFERROR(MID(Проливка[[#This Row],[Штрихкод ]],1,FIND("-",Проливка[[#This Row],[Штрихкод ]],1)-1)," ")</f>
        <v xml:space="preserve"> </v>
      </c>
      <c r="X408" t="str">
        <f>IFERROR(RIGHT(Проливка[[#This Row],[Штрихкод ]],LEN(Проливка[[#This Row],[Штрихкод ]])-SEARCH("-",Проливка[[#This Row],[Штрихкод ]],1))," ")</f>
        <v xml:space="preserve"> </v>
      </c>
      <c r="Y408">
        <f>IFERROR(VLOOKUP(Проливка[[#This Row],[ID]]*1,'Срок хранения'!A408:B506,2,0),0)</f>
        <v>0</v>
      </c>
      <c r="Z408">
        <f>IFERROR(VLOOKUP(Проливка[[#This Row],[ID]]*1,'Срок хранения'!A408:C506,3,0),0)</f>
        <v>0</v>
      </c>
    </row>
    <row r="409" spans="1:26" x14ac:dyDescent="0.25">
      <c r="A409" s="9"/>
      <c r="B409" s="12" t="str">
        <f t="shared" si="25"/>
        <v xml:space="preserve"> </v>
      </c>
      <c r="C409" s="10" t="str">
        <f t="shared" si="24"/>
        <v xml:space="preserve"> </v>
      </c>
      <c r="D409" s="10">
        <f t="shared" si="26"/>
        <v>0</v>
      </c>
      <c r="E409" s="10">
        <f t="shared" si="27"/>
        <v>0</v>
      </c>
      <c r="W409" t="str">
        <f>IFERROR(MID(Проливка[[#This Row],[Штрихкод ]],1,FIND("-",Проливка[[#This Row],[Штрихкод ]],1)-1)," ")</f>
        <v xml:space="preserve"> </v>
      </c>
      <c r="X409" t="str">
        <f>IFERROR(RIGHT(Проливка[[#This Row],[Штрихкод ]],LEN(Проливка[[#This Row],[Штрихкод ]])-SEARCH("-",Проливка[[#This Row],[Штрихкод ]],1))," ")</f>
        <v xml:space="preserve"> </v>
      </c>
      <c r="Y409">
        <f>IFERROR(VLOOKUP(Проливка[[#This Row],[ID]]*1,'Срок хранения'!A409:B507,2,0),0)</f>
        <v>0</v>
      </c>
      <c r="Z409">
        <f>IFERROR(VLOOKUP(Проливка[[#This Row],[ID]]*1,'Срок хранения'!A409:C507,3,0),0)</f>
        <v>0</v>
      </c>
    </row>
    <row r="410" spans="1:26" x14ac:dyDescent="0.25">
      <c r="A410" s="9"/>
      <c r="B410" s="12" t="str">
        <f t="shared" si="25"/>
        <v xml:space="preserve"> </v>
      </c>
      <c r="C410" s="10" t="str">
        <f t="shared" si="24"/>
        <v xml:space="preserve"> </v>
      </c>
      <c r="D410" s="10">
        <f t="shared" si="26"/>
        <v>0</v>
      </c>
      <c r="E410" s="10">
        <f t="shared" si="27"/>
        <v>0</v>
      </c>
      <c r="W410" t="str">
        <f>IFERROR(MID(Проливка[[#This Row],[Штрихкод ]],1,FIND("-",Проливка[[#This Row],[Штрихкод ]],1)-1)," ")</f>
        <v xml:space="preserve"> </v>
      </c>
      <c r="X410" t="str">
        <f>IFERROR(RIGHT(Проливка[[#This Row],[Штрихкод ]],LEN(Проливка[[#This Row],[Штрихкод ]])-SEARCH("-",Проливка[[#This Row],[Штрихкод ]],1))," ")</f>
        <v xml:space="preserve"> </v>
      </c>
      <c r="Y410">
        <f>IFERROR(VLOOKUP(Проливка[[#This Row],[ID]]*1,'Срок хранения'!A410:B508,2,0),0)</f>
        <v>0</v>
      </c>
      <c r="Z410">
        <f>IFERROR(VLOOKUP(Проливка[[#This Row],[ID]]*1,'Срок хранения'!A410:C508,3,0),0)</f>
        <v>0</v>
      </c>
    </row>
    <row r="411" spans="1:26" x14ac:dyDescent="0.25">
      <c r="A411" s="9"/>
      <c r="B411" s="12" t="str">
        <f t="shared" si="25"/>
        <v xml:space="preserve"> </v>
      </c>
      <c r="C411" s="10" t="str">
        <f t="shared" si="24"/>
        <v xml:space="preserve"> </v>
      </c>
      <c r="D411" s="10">
        <f t="shared" si="26"/>
        <v>0</v>
      </c>
      <c r="E411" s="10">
        <f t="shared" si="27"/>
        <v>0</v>
      </c>
      <c r="W411" t="str">
        <f>IFERROR(MID(Проливка[[#This Row],[Штрихкод ]],1,FIND("-",Проливка[[#This Row],[Штрихкод ]],1)-1)," ")</f>
        <v xml:space="preserve"> </v>
      </c>
      <c r="X411" t="str">
        <f>IFERROR(RIGHT(Проливка[[#This Row],[Штрихкод ]],LEN(Проливка[[#This Row],[Штрихкод ]])-SEARCH("-",Проливка[[#This Row],[Штрихкод ]],1))," ")</f>
        <v xml:space="preserve"> </v>
      </c>
      <c r="Y411">
        <f>IFERROR(VLOOKUP(Проливка[[#This Row],[ID]]*1,'Срок хранения'!A411:B509,2,0),0)</f>
        <v>0</v>
      </c>
      <c r="Z411">
        <f>IFERROR(VLOOKUP(Проливка[[#This Row],[ID]]*1,'Срок хранения'!A411:C509,3,0),0)</f>
        <v>0</v>
      </c>
    </row>
    <row r="412" spans="1:26" x14ac:dyDescent="0.25">
      <c r="A412" s="9"/>
      <c r="B412" s="12" t="str">
        <f t="shared" si="25"/>
        <v xml:space="preserve"> </v>
      </c>
      <c r="C412" s="10" t="str">
        <f t="shared" si="24"/>
        <v xml:space="preserve"> </v>
      </c>
      <c r="D412" s="10">
        <f t="shared" si="26"/>
        <v>0</v>
      </c>
      <c r="E412" s="10">
        <f t="shared" si="27"/>
        <v>0</v>
      </c>
      <c r="W412" t="str">
        <f>IFERROR(MID(Проливка[[#This Row],[Штрихкод ]],1,FIND("-",Проливка[[#This Row],[Штрихкод ]],1)-1)," ")</f>
        <v xml:space="preserve"> </v>
      </c>
      <c r="X412" t="str">
        <f>IFERROR(RIGHT(Проливка[[#This Row],[Штрихкод ]],LEN(Проливка[[#This Row],[Штрихкод ]])-SEARCH("-",Проливка[[#This Row],[Штрихкод ]],1))," ")</f>
        <v xml:space="preserve"> </v>
      </c>
      <c r="Y412">
        <f>IFERROR(VLOOKUP(Проливка[[#This Row],[ID]]*1,'Срок хранения'!A412:B510,2,0),0)</f>
        <v>0</v>
      </c>
      <c r="Z412">
        <f>IFERROR(VLOOKUP(Проливка[[#This Row],[ID]]*1,'Срок хранения'!A412:C510,3,0),0)</f>
        <v>0</v>
      </c>
    </row>
    <row r="413" spans="1:26" x14ac:dyDescent="0.25">
      <c r="A413" s="9"/>
      <c r="B413" s="12" t="str">
        <f t="shared" si="25"/>
        <v xml:space="preserve"> </v>
      </c>
      <c r="C413" s="10" t="str">
        <f t="shared" si="24"/>
        <v xml:space="preserve"> </v>
      </c>
      <c r="D413" s="10">
        <f t="shared" si="26"/>
        <v>0</v>
      </c>
      <c r="E413" s="10">
        <f t="shared" si="27"/>
        <v>0</v>
      </c>
      <c r="W413" t="str">
        <f>IFERROR(MID(Проливка[[#This Row],[Штрихкод ]],1,FIND("-",Проливка[[#This Row],[Штрихкод ]],1)-1)," ")</f>
        <v xml:space="preserve"> </v>
      </c>
      <c r="X413" t="str">
        <f>IFERROR(RIGHT(Проливка[[#This Row],[Штрихкод ]],LEN(Проливка[[#This Row],[Штрихкод ]])-SEARCH("-",Проливка[[#This Row],[Штрихкод ]],1))," ")</f>
        <v xml:space="preserve"> </v>
      </c>
      <c r="Y413">
        <f>IFERROR(VLOOKUP(Проливка[[#This Row],[ID]]*1,'Срок хранения'!A413:B511,2,0),0)</f>
        <v>0</v>
      </c>
      <c r="Z413">
        <f>IFERROR(VLOOKUP(Проливка[[#This Row],[ID]]*1,'Срок хранения'!A413:C511,3,0),0)</f>
        <v>0</v>
      </c>
    </row>
    <row r="414" spans="1:26" x14ac:dyDescent="0.25">
      <c r="A414" s="9"/>
      <c r="B414" s="12" t="str">
        <f t="shared" si="25"/>
        <v xml:space="preserve"> </v>
      </c>
      <c r="C414" s="10" t="str">
        <f t="shared" si="24"/>
        <v xml:space="preserve"> </v>
      </c>
      <c r="D414" s="10">
        <f t="shared" si="26"/>
        <v>0</v>
      </c>
      <c r="E414" s="10">
        <f t="shared" si="27"/>
        <v>0</v>
      </c>
      <c r="W414" t="str">
        <f>IFERROR(MID(Проливка[[#This Row],[Штрихкод ]],1,FIND("-",Проливка[[#This Row],[Штрихкод ]],1)-1)," ")</f>
        <v xml:space="preserve"> </v>
      </c>
      <c r="X414" t="str">
        <f>IFERROR(RIGHT(Проливка[[#This Row],[Штрихкод ]],LEN(Проливка[[#This Row],[Штрихкод ]])-SEARCH("-",Проливка[[#This Row],[Штрихкод ]],1))," ")</f>
        <v xml:space="preserve"> </v>
      </c>
      <c r="Y414">
        <f>IFERROR(VLOOKUP(Проливка[[#This Row],[ID]]*1,'Срок хранения'!A414:B512,2,0),0)</f>
        <v>0</v>
      </c>
      <c r="Z414">
        <f>IFERROR(VLOOKUP(Проливка[[#This Row],[ID]]*1,'Срок хранения'!A414:C512,3,0),0)</f>
        <v>0</v>
      </c>
    </row>
    <row r="415" spans="1:26" x14ac:dyDescent="0.25">
      <c r="A415" s="9"/>
      <c r="B415" s="12" t="str">
        <f t="shared" si="25"/>
        <v xml:space="preserve"> </v>
      </c>
      <c r="C415" s="10" t="str">
        <f t="shared" si="24"/>
        <v xml:space="preserve"> </v>
      </c>
      <c r="D415" s="10">
        <f t="shared" si="26"/>
        <v>0</v>
      </c>
      <c r="E415" s="10">
        <f t="shared" si="27"/>
        <v>0</v>
      </c>
      <c r="W415" t="str">
        <f>IFERROR(MID(Проливка[[#This Row],[Штрихкод ]],1,FIND("-",Проливка[[#This Row],[Штрихкод ]],1)-1)," ")</f>
        <v xml:space="preserve"> </v>
      </c>
      <c r="X415" t="str">
        <f>IFERROR(RIGHT(Проливка[[#This Row],[Штрихкод ]],LEN(Проливка[[#This Row],[Штрихкод ]])-SEARCH("-",Проливка[[#This Row],[Штрихкод ]],1))," ")</f>
        <v xml:space="preserve"> </v>
      </c>
      <c r="Y415">
        <f>IFERROR(VLOOKUP(Проливка[[#This Row],[ID]]*1,'Срок хранения'!A415:B513,2,0),0)</f>
        <v>0</v>
      </c>
      <c r="Z415">
        <f>IFERROR(VLOOKUP(Проливка[[#This Row],[ID]]*1,'Срок хранения'!A415:C513,3,0),0)</f>
        <v>0</v>
      </c>
    </row>
    <row r="416" spans="1:26" x14ac:dyDescent="0.25">
      <c r="A416" s="9"/>
      <c r="B416" s="12" t="str">
        <f t="shared" si="25"/>
        <v xml:space="preserve"> </v>
      </c>
      <c r="C416" s="10" t="str">
        <f t="shared" si="24"/>
        <v xml:space="preserve"> </v>
      </c>
      <c r="D416" s="10">
        <f t="shared" si="26"/>
        <v>0</v>
      </c>
      <c r="E416" s="10">
        <f t="shared" si="27"/>
        <v>0</v>
      </c>
      <c r="W416" t="str">
        <f>IFERROR(MID(Проливка[[#This Row],[Штрихкод ]],1,FIND("-",Проливка[[#This Row],[Штрихкод ]],1)-1)," ")</f>
        <v xml:space="preserve"> </v>
      </c>
      <c r="X416" t="str">
        <f>IFERROR(RIGHT(Проливка[[#This Row],[Штрихкод ]],LEN(Проливка[[#This Row],[Штрихкод ]])-SEARCH("-",Проливка[[#This Row],[Штрихкод ]],1))," ")</f>
        <v xml:space="preserve"> </v>
      </c>
      <c r="Y416">
        <f>IFERROR(VLOOKUP(Проливка[[#This Row],[ID]]*1,'Срок хранения'!A416:B514,2,0),0)</f>
        <v>0</v>
      </c>
      <c r="Z416">
        <f>IFERROR(VLOOKUP(Проливка[[#This Row],[ID]]*1,'Срок хранения'!A416:C514,3,0),0)</f>
        <v>0</v>
      </c>
    </row>
    <row r="417" spans="1:26" x14ac:dyDescent="0.25">
      <c r="A417" s="9"/>
      <c r="B417" s="12" t="str">
        <f t="shared" si="25"/>
        <v xml:space="preserve"> </v>
      </c>
      <c r="C417" s="10" t="str">
        <f t="shared" si="24"/>
        <v xml:space="preserve"> </v>
      </c>
      <c r="D417" s="10">
        <f t="shared" si="26"/>
        <v>0</v>
      </c>
      <c r="E417" s="10">
        <f t="shared" si="27"/>
        <v>0</v>
      </c>
      <c r="W417" t="str">
        <f>IFERROR(MID(Проливка[[#This Row],[Штрихкод ]],1,FIND("-",Проливка[[#This Row],[Штрихкод ]],1)-1)," ")</f>
        <v xml:space="preserve"> </v>
      </c>
      <c r="X417" t="str">
        <f>IFERROR(RIGHT(Проливка[[#This Row],[Штрихкод ]],LEN(Проливка[[#This Row],[Штрихкод ]])-SEARCH("-",Проливка[[#This Row],[Штрихкод ]],1))," ")</f>
        <v xml:space="preserve"> </v>
      </c>
      <c r="Y417">
        <f>IFERROR(VLOOKUP(Проливка[[#This Row],[ID]]*1,'Срок хранения'!A417:B515,2,0),0)</f>
        <v>0</v>
      </c>
      <c r="Z417">
        <f>IFERROR(VLOOKUP(Проливка[[#This Row],[ID]]*1,'Срок хранения'!A417:C515,3,0),0)</f>
        <v>0</v>
      </c>
    </row>
    <row r="418" spans="1:26" x14ac:dyDescent="0.25">
      <c r="A418" s="9"/>
      <c r="B418" s="12" t="str">
        <f t="shared" si="25"/>
        <v xml:space="preserve"> </v>
      </c>
      <c r="C418" s="10" t="str">
        <f t="shared" si="24"/>
        <v xml:space="preserve"> </v>
      </c>
      <c r="D418" s="10">
        <f t="shared" si="26"/>
        <v>0</v>
      </c>
      <c r="E418" s="10">
        <f t="shared" si="27"/>
        <v>0</v>
      </c>
      <c r="W418" t="str">
        <f>IFERROR(MID(Проливка[[#This Row],[Штрихкод ]],1,FIND("-",Проливка[[#This Row],[Штрихкод ]],1)-1)," ")</f>
        <v xml:space="preserve"> </v>
      </c>
      <c r="X418" t="str">
        <f>IFERROR(RIGHT(Проливка[[#This Row],[Штрихкод ]],LEN(Проливка[[#This Row],[Штрихкод ]])-SEARCH("-",Проливка[[#This Row],[Штрихкод ]],1))," ")</f>
        <v xml:space="preserve"> </v>
      </c>
      <c r="Y418">
        <f>IFERROR(VLOOKUP(Проливка[[#This Row],[ID]]*1,'Срок хранения'!A418:B516,2,0),0)</f>
        <v>0</v>
      </c>
      <c r="Z418">
        <f>IFERROR(VLOOKUP(Проливка[[#This Row],[ID]]*1,'Срок хранения'!A418:C516,3,0),0)</f>
        <v>0</v>
      </c>
    </row>
    <row r="419" spans="1:26" x14ac:dyDescent="0.25">
      <c r="A419" s="9"/>
      <c r="B419" s="12" t="str">
        <f t="shared" si="25"/>
        <v xml:space="preserve"> </v>
      </c>
      <c r="C419" s="10" t="str">
        <f t="shared" si="24"/>
        <v xml:space="preserve"> </v>
      </c>
      <c r="D419" s="10">
        <f t="shared" si="26"/>
        <v>0</v>
      </c>
      <c r="E419" s="10">
        <f t="shared" si="27"/>
        <v>0</v>
      </c>
      <c r="W419" t="str">
        <f>IFERROR(MID(Проливка[[#This Row],[Штрихкод ]],1,FIND("-",Проливка[[#This Row],[Штрихкод ]],1)-1)," ")</f>
        <v xml:space="preserve"> </v>
      </c>
      <c r="X419" t="str">
        <f>IFERROR(RIGHT(Проливка[[#This Row],[Штрихкод ]],LEN(Проливка[[#This Row],[Штрихкод ]])-SEARCH("-",Проливка[[#This Row],[Штрихкод ]],1))," ")</f>
        <v xml:space="preserve"> </v>
      </c>
      <c r="Y419">
        <f>IFERROR(VLOOKUP(Проливка[[#This Row],[ID]]*1,'Срок хранения'!A419:B517,2,0),0)</f>
        <v>0</v>
      </c>
      <c r="Z419">
        <f>IFERROR(VLOOKUP(Проливка[[#This Row],[ID]]*1,'Срок хранения'!A419:C517,3,0),0)</f>
        <v>0</v>
      </c>
    </row>
    <row r="420" spans="1:26" x14ac:dyDescent="0.25">
      <c r="A420" s="9"/>
      <c r="B420" s="12" t="str">
        <f t="shared" si="25"/>
        <v xml:space="preserve"> </v>
      </c>
      <c r="C420" s="10" t="str">
        <f t="shared" si="24"/>
        <v xml:space="preserve"> </v>
      </c>
      <c r="D420" s="10">
        <f t="shared" si="26"/>
        <v>0</v>
      </c>
      <c r="E420" s="10">
        <f t="shared" si="27"/>
        <v>0</v>
      </c>
      <c r="W420" t="str">
        <f>IFERROR(MID(Проливка[[#This Row],[Штрихкод ]],1,FIND("-",Проливка[[#This Row],[Штрихкод ]],1)-1)," ")</f>
        <v xml:space="preserve"> </v>
      </c>
      <c r="X420" t="str">
        <f>IFERROR(RIGHT(Проливка[[#This Row],[Штрихкод ]],LEN(Проливка[[#This Row],[Штрихкод ]])-SEARCH("-",Проливка[[#This Row],[Штрихкод ]],1))," ")</f>
        <v xml:space="preserve"> </v>
      </c>
      <c r="Y420">
        <f>IFERROR(VLOOKUP(Проливка[[#This Row],[ID]]*1,'Срок хранения'!A420:B518,2,0),0)</f>
        <v>0</v>
      </c>
      <c r="Z420">
        <f>IFERROR(VLOOKUP(Проливка[[#This Row],[ID]]*1,'Срок хранения'!A420:C518,3,0),0)</f>
        <v>0</v>
      </c>
    </row>
    <row r="421" spans="1:26" x14ac:dyDescent="0.25">
      <c r="A421" s="9"/>
      <c r="B421" s="12" t="str">
        <f t="shared" si="25"/>
        <v xml:space="preserve"> </v>
      </c>
      <c r="C421" s="10" t="str">
        <f t="shared" si="24"/>
        <v xml:space="preserve"> </v>
      </c>
      <c r="D421" s="10">
        <f t="shared" si="26"/>
        <v>0</v>
      </c>
      <c r="E421" s="10">
        <f t="shared" si="27"/>
        <v>0</v>
      </c>
      <c r="W421" t="str">
        <f>IFERROR(MID(Проливка[[#This Row],[Штрихкод ]],1,FIND("-",Проливка[[#This Row],[Штрихкод ]],1)-1)," ")</f>
        <v xml:space="preserve"> </v>
      </c>
      <c r="X421" t="str">
        <f>IFERROR(RIGHT(Проливка[[#This Row],[Штрихкод ]],LEN(Проливка[[#This Row],[Штрихкод ]])-SEARCH("-",Проливка[[#This Row],[Штрихкод ]],1))," ")</f>
        <v xml:space="preserve"> </v>
      </c>
      <c r="Y421">
        <f>IFERROR(VLOOKUP(Проливка[[#This Row],[ID]]*1,'Срок хранения'!A421:B519,2,0),0)</f>
        <v>0</v>
      </c>
      <c r="Z421">
        <f>IFERROR(VLOOKUP(Проливка[[#This Row],[ID]]*1,'Срок хранения'!A421:C519,3,0),0)</f>
        <v>0</v>
      </c>
    </row>
    <row r="422" spans="1:26" x14ac:dyDescent="0.25">
      <c r="A422" s="9"/>
      <c r="B422" s="12" t="str">
        <f t="shared" si="25"/>
        <v xml:space="preserve"> </v>
      </c>
      <c r="C422" s="10" t="str">
        <f t="shared" si="24"/>
        <v xml:space="preserve"> </v>
      </c>
      <c r="D422" s="10">
        <f t="shared" si="26"/>
        <v>0</v>
      </c>
      <c r="E422" s="10">
        <f t="shared" si="27"/>
        <v>0</v>
      </c>
      <c r="W422" t="str">
        <f>IFERROR(MID(Проливка[[#This Row],[Штрихкод ]],1,FIND("-",Проливка[[#This Row],[Штрихкод ]],1)-1)," ")</f>
        <v xml:space="preserve"> </v>
      </c>
      <c r="X422" t="str">
        <f>IFERROR(RIGHT(Проливка[[#This Row],[Штрихкод ]],LEN(Проливка[[#This Row],[Штрихкод ]])-SEARCH("-",Проливка[[#This Row],[Штрихкод ]],1))," ")</f>
        <v xml:space="preserve"> </v>
      </c>
      <c r="Y422">
        <f>IFERROR(VLOOKUP(Проливка[[#This Row],[ID]]*1,'Срок хранения'!A422:B520,2,0),0)</f>
        <v>0</v>
      </c>
      <c r="Z422">
        <f>IFERROR(VLOOKUP(Проливка[[#This Row],[ID]]*1,'Срок хранения'!A422:C520,3,0),0)</f>
        <v>0</v>
      </c>
    </row>
    <row r="423" spans="1:26" x14ac:dyDescent="0.25">
      <c r="A423" s="9"/>
      <c r="B423" s="12" t="str">
        <f t="shared" si="25"/>
        <v xml:space="preserve"> </v>
      </c>
      <c r="C423" s="10" t="str">
        <f t="shared" si="24"/>
        <v xml:space="preserve"> </v>
      </c>
      <c r="D423" s="10">
        <f t="shared" si="26"/>
        <v>0</v>
      </c>
      <c r="E423" s="10">
        <f t="shared" si="27"/>
        <v>0</v>
      </c>
      <c r="W423" t="str">
        <f>IFERROR(MID(Проливка[[#This Row],[Штрихкод ]],1,FIND("-",Проливка[[#This Row],[Штрихкод ]],1)-1)," ")</f>
        <v xml:space="preserve"> </v>
      </c>
      <c r="X423" t="str">
        <f>IFERROR(RIGHT(Проливка[[#This Row],[Штрихкод ]],LEN(Проливка[[#This Row],[Штрихкод ]])-SEARCH("-",Проливка[[#This Row],[Штрихкод ]],1))," ")</f>
        <v xml:space="preserve"> </v>
      </c>
      <c r="Y423">
        <f>IFERROR(VLOOKUP(Проливка[[#This Row],[ID]]*1,'Срок хранения'!A423:B521,2,0),0)</f>
        <v>0</v>
      </c>
      <c r="Z423">
        <f>IFERROR(VLOOKUP(Проливка[[#This Row],[ID]]*1,'Срок хранения'!A423:C521,3,0),0)</f>
        <v>0</v>
      </c>
    </row>
    <row r="424" spans="1:26" x14ac:dyDescent="0.25">
      <c r="A424" s="9"/>
      <c r="B424" s="12" t="str">
        <f t="shared" si="25"/>
        <v xml:space="preserve"> </v>
      </c>
      <c r="C424" s="10" t="str">
        <f t="shared" si="24"/>
        <v xml:space="preserve"> </v>
      </c>
      <c r="D424" s="10">
        <f t="shared" si="26"/>
        <v>0</v>
      </c>
      <c r="E424" s="10">
        <f t="shared" si="27"/>
        <v>0</v>
      </c>
      <c r="W424" t="str">
        <f>IFERROR(MID(Проливка[[#This Row],[Штрихкод ]],1,FIND("-",Проливка[[#This Row],[Штрихкод ]],1)-1)," ")</f>
        <v xml:space="preserve"> </v>
      </c>
      <c r="X424" t="str">
        <f>IFERROR(RIGHT(Проливка[[#This Row],[Штрихкод ]],LEN(Проливка[[#This Row],[Штрихкод ]])-SEARCH("-",Проливка[[#This Row],[Штрихкод ]],1))," ")</f>
        <v xml:space="preserve"> </v>
      </c>
      <c r="Y424">
        <f>IFERROR(VLOOKUP(Проливка[[#This Row],[ID]]*1,'Срок хранения'!A424:B522,2,0),0)</f>
        <v>0</v>
      </c>
      <c r="Z424">
        <f>IFERROR(VLOOKUP(Проливка[[#This Row],[ID]]*1,'Срок хранения'!A424:C522,3,0),0)</f>
        <v>0</v>
      </c>
    </row>
    <row r="425" spans="1:26" x14ac:dyDescent="0.25">
      <c r="A425" s="9"/>
      <c r="B425" s="12" t="str">
        <f t="shared" si="25"/>
        <v xml:space="preserve"> </v>
      </c>
      <c r="C425" s="10" t="str">
        <f t="shared" si="24"/>
        <v xml:space="preserve"> </v>
      </c>
      <c r="D425" s="10">
        <f t="shared" si="26"/>
        <v>0</v>
      </c>
      <c r="E425" s="10">
        <f t="shared" si="27"/>
        <v>0</v>
      </c>
      <c r="W425" t="str">
        <f>IFERROR(MID(Проливка[[#This Row],[Штрихкод ]],1,FIND("-",Проливка[[#This Row],[Штрихкод ]],1)-1)," ")</f>
        <v xml:space="preserve"> </v>
      </c>
      <c r="X425" t="str">
        <f>IFERROR(RIGHT(Проливка[[#This Row],[Штрихкод ]],LEN(Проливка[[#This Row],[Штрихкод ]])-SEARCH("-",Проливка[[#This Row],[Штрихкод ]],1))," ")</f>
        <v xml:space="preserve"> </v>
      </c>
      <c r="Y425">
        <f>IFERROR(VLOOKUP(Проливка[[#This Row],[ID]]*1,'Срок хранения'!A425:B523,2,0),0)</f>
        <v>0</v>
      </c>
      <c r="Z425">
        <f>IFERROR(VLOOKUP(Проливка[[#This Row],[ID]]*1,'Срок хранения'!A425:C523,3,0),0)</f>
        <v>0</v>
      </c>
    </row>
    <row r="426" spans="1:26" x14ac:dyDescent="0.25">
      <c r="A426" s="9"/>
      <c r="B426" s="12" t="str">
        <f t="shared" si="25"/>
        <v xml:space="preserve"> </v>
      </c>
      <c r="C426" s="10" t="str">
        <f t="shared" si="24"/>
        <v xml:space="preserve"> </v>
      </c>
      <c r="D426" s="10">
        <f t="shared" si="26"/>
        <v>0</v>
      </c>
      <c r="E426" s="10">
        <f t="shared" si="27"/>
        <v>0</v>
      </c>
      <c r="W426" t="str">
        <f>IFERROR(MID(Проливка[[#This Row],[Штрихкод ]],1,FIND("-",Проливка[[#This Row],[Штрихкод ]],1)-1)," ")</f>
        <v xml:space="preserve"> </v>
      </c>
      <c r="X426" t="str">
        <f>IFERROR(RIGHT(Проливка[[#This Row],[Штрихкод ]],LEN(Проливка[[#This Row],[Штрихкод ]])-SEARCH("-",Проливка[[#This Row],[Штрихкод ]],1))," ")</f>
        <v xml:space="preserve"> </v>
      </c>
      <c r="Y426">
        <f>IFERROR(VLOOKUP(Проливка[[#This Row],[ID]]*1,'Срок хранения'!A426:B524,2,0),0)</f>
        <v>0</v>
      </c>
      <c r="Z426">
        <f>IFERROR(VLOOKUP(Проливка[[#This Row],[ID]]*1,'Срок хранения'!A426:C524,3,0),0)</f>
        <v>0</v>
      </c>
    </row>
    <row r="427" spans="1:26" x14ac:dyDescent="0.25">
      <c r="A427" s="9"/>
      <c r="B427" s="12" t="str">
        <f t="shared" si="25"/>
        <v xml:space="preserve"> </v>
      </c>
      <c r="C427" s="10" t="str">
        <f t="shared" si="24"/>
        <v xml:space="preserve"> </v>
      </c>
      <c r="D427" s="10">
        <f t="shared" si="26"/>
        <v>0</v>
      </c>
      <c r="E427" s="10">
        <f t="shared" si="27"/>
        <v>0</v>
      </c>
      <c r="W427" t="str">
        <f>IFERROR(MID(Проливка[[#This Row],[Штрихкод ]],1,FIND("-",Проливка[[#This Row],[Штрихкод ]],1)-1)," ")</f>
        <v xml:space="preserve"> </v>
      </c>
      <c r="X427" t="str">
        <f>IFERROR(RIGHT(Проливка[[#This Row],[Штрихкод ]],LEN(Проливка[[#This Row],[Штрихкод ]])-SEARCH("-",Проливка[[#This Row],[Штрихкод ]],1))," ")</f>
        <v xml:space="preserve"> </v>
      </c>
      <c r="Y427">
        <f>IFERROR(VLOOKUP(Проливка[[#This Row],[ID]]*1,'Срок хранения'!A427:B525,2,0),0)</f>
        <v>0</v>
      </c>
      <c r="Z427">
        <f>IFERROR(VLOOKUP(Проливка[[#This Row],[ID]]*1,'Срок хранения'!A427:C525,3,0),0)</f>
        <v>0</v>
      </c>
    </row>
    <row r="428" spans="1:26" x14ac:dyDescent="0.25">
      <c r="A428" s="9"/>
      <c r="B428" s="12" t="str">
        <f t="shared" si="25"/>
        <v xml:space="preserve"> </v>
      </c>
      <c r="C428" s="10" t="str">
        <f t="shared" si="24"/>
        <v xml:space="preserve"> </v>
      </c>
      <c r="D428" s="10">
        <f t="shared" si="26"/>
        <v>0</v>
      </c>
      <c r="E428" s="10">
        <f t="shared" si="27"/>
        <v>0</v>
      </c>
      <c r="W428" t="str">
        <f>IFERROR(MID(Проливка[[#This Row],[Штрихкод ]],1,FIND("-",Проливка[[#This Row],[Штрихкод ]],1)-1)," ")</f>
        <v xml:space="preserve"> </v>
      </c>
      <c r="X428" t="str">
        <f>IFERROR(RIGHT(Проливка[[#This Row],[Штрихкод ]],LEN(Проливка[[#This Row],[Штрихкод ]])-SEARCH("-",Проливка[[#This Row],[Штрихкод ]],1))," ")</f>
        <v xml:space="preserve"> </v>
      </c>
      <c r="Y428">
        <f>IFERROR(VLOOKUP(Проливка[[#This Row],[ID]]*1,'Срок хранения'!A428:B526,2,0),0)</f>
        <v>0</v>
      </c>
      <c r="Z428">
        <f>IFERROR(VLOOKUP(Проливка[[#This Row],[ID]]*1,'Срок хранения'!A428:C526,3,0),0)</f>
        <v>0</v>
      </c>
    </row>
    <row r="429" spans="1:26" x14ac:dyDescent="0.25">
      <c r="A429" s="9"/>
      <c r="B429" s="12" t="str">
        <f t="shared" si="25"/>
        <v xml:space="preserve"> </v>
      </c>
      <c r="C429" s="10" t="str">
        <f t="shared" si="24"/>
        <v xml:space="preserve"> </v>
      </c>
      <c r="D429" s="10">
        <f t="shared" si="26"/>
        <v>0</v>
      </c>
      <c r="E429" s="10">
        <f t="shared" si="27"/>
        <v>0</v>
      </c>
      <c r="W429" t="str">
        <f>IFERROR(MID(Проливка[[#This Row],[Штрихкод ]],1,FIND("-",Проливка[[#This Row],[Штрихкод ]],1)-1)," ")</f>
        <v xml:space="preserve"> </v>
      </c>
      <c r="X429" t="str">
        <f>IFERROR(RIGHT(Проливка[[#This Row],[Штрихкод ]],LEN(Проливка[[#This Row],[Штрихкод ]])-SEARCH("-",Проливка[[#This Row],[Штрихкод ]],1))," ")</f>
        <v xml:space="preserve"> </v>
      </c>
      <c r="Y429">
        <f>IFERROR(VLOOKUP(Проливка[[#This Row],[ID]]*1,'Срок хранения'!A429:B527,2,0),0)</f>
        <v>0</v>
      </c>
      <c r="Z429">
        <f>IFERROR(VLOOKUP(Проливка[[#This Row],[ID]]*1,'Срок хранения'!A429:C527,3,0),0)</f>
        <v>0</v>
      </c>
    </row>
    <row r="430" spans="1:26" x14ac:dyDescent="0.25">
      <c r="A430" s="9"/>
      <c r="B430" s="12" t="str">
        <f t="shared" si="25"/>
        <v xml:space="preserve"> </v>
      </c>
      <c r="C430" s="10" t="str">
        <f t="shared" si="24"/>
        <v xml:space="preserve"> </v>
      </c>
      <c r="D430" s="10">
        <f t="shared" si="26"/>
        <v>0</v>
      </c>
      <c r="E430" s="10">
        <f t="shared" si="27"/>
        <v>0</v>
      </c>
      <c r="W430" t="str">
        <f>IFERROR(MID(Проливка[[#This Row],[Штрихкод ]],1,FIND("-",Проливка[[#This Row],[Штрихкод ]],1)-1)," ")</f>
        <v xml:space="preserve"> </v>
      </c>
      <c r="X430" t="str">
        <f>IFERROR(RIGHT(Проливка[[#This Row],[Штрихкод ]],LEN(Проливка[[#This Row],[Штрихкод ]])-SEARCH("-",Проливка[[#This Row],[Штрихкод ]],1))," ")</f>
        <v xml:space="preserve"> </v>
      </c>
      <c r="Y430">
        <f>IFERROR(VLOOKUP(Проливка[[#This Row],[ID]]*1,'Срок хранения'!A430:B528,2,0),0)</f>
        <v>0</v>
      </c>
      <c r="Z430">
        <f>IFERROR(VLOOKUP(Проливка[[#This Row],[ID]]*1,'Срок хранения'!A430:C528,3,0),0)</f>
        <v>0</v>
      </c>
    </row>
    <row r="431" spans="1:26" x14ac:dyDescent="0.25">
      <c r="A431" s="9"/>
      <c r="B431" s="12" t="str">
        <f t="shared" si="25"/>
        <v xml:space="preserve"> </v>
      </c>
      <c r="C431" s="10" t="str">
        <f t="shared" si="24"/>
        <v xml:space="preserve"> </v>
      </c>
      <c r="D431" s="10">
        <f t="shared" si="26"/>
        <v>0</v>
      </c>
      <c r="E431" s="10">
        <f t="shared" si="27"/>
        <v>0</v>
      </c>
      <c r="W431" t="str">
        <f>IFERROR(MID(Проливка[[#This Row],[Штрихкод ]],1,FIND("-",Проливка[[#This Row],[Штрихкод ]],1)-1)," ")</f>
        <v xml:space="preserve"> </v>
      </c>
      <c r="X431" t="str">
        <f>IFERROR(RIGHT(Проливка[[#This Row],[Штрихкод ]],LEN(Проливка[[#This Row],[Штрихкод ]])-SEARCH("-",Проливка[[#This Row],[Штрихкод ]],1))," ")</f>
        <v xml:space="preserve"> </v>
      </c>
      <c r="Y431">
        <f>IFERROR(VLOOKUP(Проливка[[#This Row],[ID]]*1,'Срок хранения'!A431:B529,2,0),0)</f>
        <v>0</v>
      </c>
      <c r="Z431">
        <f>IFERROR(VLOOKUP(Проливка[[#This Row],[ID]]*1,'Срок хранения'!A431:C529,3,0),0)</f>
        <v>0</v>
      </c>
    </row>
    <row r="432" spans="1:26" x14ac:dyDescent="0.25">
      <c r="A432" s="9"/>
      <c r="B432" s="12" t="str">
        <f t="shared" si="25"/>
        <v xml:space="preserve"> </v>
      </c>
      <c r="C432" s="10" t="str">
        <f t="shared" si="24"/>
        <v xml:space="preserve"> </v>
      </c>
      <c r="D432" s="10">
        <f t="shared" si="26"/>
        <v>0</v>
      </c>
      <c r="E432" s="10">
        <f t="shared" si="27"/>
        <v>0</v>
      </c>
      <c r="W432" t="str">
        <f>IFERROR(MID(Проливка[[#This Row],[Штрихкод ]],1,FIND("-",Проливка[[#This Row],[Штрихкод ]],1)-1)," ")</f>
        <v xml:space="preserve"> </v>
      </c>
      <c r="X432" t="str">
        <f>IFERROR(RIGHT(Проливка[[#This Row],[Штрихкод ]],LEN(Проливка[[#This Row],[Штрихкод ]])-SEARCH("-",Проливка[[#This Row],[Штрихкод ]],1))," ")</f>
        <v xml:space="preserve"> </v>
      </c>
      <c r="Y432">
        <f>IFERROR(VLOOKUP(Проливка[[#This Row],[ID]]*1,'Срок хранения'!A432:B530,2,0),0)</f>
        <v>0</v>
      </c>
      <c r="Z432">
        <f>IFERROR(VLOOKUP(Проливка[[#This Row],[ID]]*1,'Срок хранения'!A432:C530,3,0),0)</f>
        <v>0</v>
      </c>
    </row>
    <row r="433" spans="1:26" x14ac:dyDescent="0.25">
      <c r="A433" s="9"/>
      <c r="B433" s="12" t="str">
        <f t="shared" si="25"/>
        <v xml:space="preserve"> </v>
      </c>
      <c r="C433" s="10" t="str">
        <f t="shared" si="24"/>
        <v xml:space="preserve"> </v>
      </c>
      <c r="D433" s="10">
        <f t="shared" si="26"/>
        <v>0</v>
      </c>
      <c r="E433" s="10">
        <f t="shared" si="27"/>
        <v>0</v>
      </c>
      <c r="W433" t="str">
        <f>IFERROR(MID(Проливка[[#This Row],[Штрихкод ]],1,FIND("-",Проливка[[#This Row],[Штрихкод ]],1)-1)," ")</f>
        <v xml:space="preserve"> </v>
      </c>
      <c r="X433" t="str">
        <f>IFERROR(RIGHT(Проливка[[#This Row],[Штрихкод ]],LEN(Проливка[[#This Row],[Штрихкод ]])-SEARCH("-",Проливка[[#This Row],[Штрихкод ]],1))," ")</f>
        <v xml:space="preserve"> </v>
      </c>
      <c r="Y433">
        <f>IFERROR(VLOOKUP(Проливка[[#This Row],[ID]]*1,'Срок хранения'!A433:B531,2,0),0)</f>
        <v>0</v>
      </c>
      <c r="Z433">
        <f>IFERROR(VLOOKUP(Проливка[[#This Row],[ID]]*1,'Срок хранения'!A433:C531,3,0),0)</f>
        <v>0</v>
      </c>
    </row>
    <row r="434" spans="1:26" x14ac:dyDescent="0.25">
      <c r="A434" s="9"/>
      <c r="B434" s="12" t="str">
        <f t="shared" si="25"/>
        <v xml:space="preserve"> </v>
      </c>
      <c r="C434" s="10" t="str">
        <f t="shared" si="24"/>
        <v xml:space="preserve"> </v>
      </c>
      <c r="D434" s="10">
        <f t="shared" si="26"/>
        <v>0</v>
      </c>
      <c r="E434" s="10">
        <f t="shared" si="27"/>
        <v>0</v>
      </c>
      <c r="W434" t="str">
        <f>IFERROR(MID(Проливка[[#This Row],[Штрихкод ]],1,FIND("-",Проливка[[#This Row],[Штрихкод ]],1)-1)," ")</f>
        <v xml:space="preserve"> </v>
      </c>
      <c r="X434" t="str">
        <f>IFERROR(RIGHT(Проливка[[#This Row],[Штрихкод ]],LEN(Проливка[[#This Row],[Штрихкод ]])-SEARCH("-",Проливка[[#This Row],[Штрихкод ]],1))," ")</f>
        <v xml:space="preserve"> </v>
      </c>
      <c r="Y434">
        <f>IFERROR(VLOOKUP(Проливка[[#This Row],[ID]]*1,'Срок хранения'!A434:B532,2,0),0)</f>
        <v>0</v>
      </c>
      <c r="Z434">
        <f>IFERROR(VLOOKUP(Проливка[[#This Row],[ID]]*1,'Срок хранения'!A434:C532,3,0),0)</f>
        <v>0</v>
      </c>
    </row>
    <row r="435" spans="1:26" x14ac:dyDescent="0.25">
      <c r="A435" s="9"/>
      <c r="B435" s="12" t="str">
        <f t="shared" si="25"/>
        <v xml:space="preserve"> </v>
      </c>
      <c r="C435" s="10" t="str">
        <f t="shared" si="24"/>
        <v xml:space="preserve"> </v>
      </c>
      <c r="D435" s="10">
        <f t="shared" si="26"/>
        <v>0</v>
      </c>
      <c r="E435" s="10">
        <f t="shared" si="27"/>
        <v>0</v>
      </c>
      <c r="W435" t="str">
        <f>IFERROR(MID(Проливка[[#This Row],[Штрихкод ]],1,FIND("-",Проливка[[#This Row],[Штрихкод ]],1)-1)," ")</f>
        <v xml:space="preserve"> </v>
      </c>
      <c r="X435" t="str">
        <f>IFERROR(RIGHT(Проливка[[#This Row],[Штрихкод ]],LEN(Проливка[[#This Row],[Штрихкод ]])-SEARCH("-",Проливка[[#This Row],[Штрихкод ]],1))," ")</f>
        <v xml:space="preserve"> </v>
      </c>
      <c r="Y435">
        <f>IFERROR(VLOOKUP(Проливка[[#This Row],[ID]]*1,'Срок хранения'!A435:B533,2,0),0)</f>
        <v>0</v>
      </c>
      <c r="Z435">
        <f>IFERROR(VLOOKUP(Проливка[[#This Row],[ID]]*1,'Срок хранения'!A435:C533,3,0),0)</f>
        <v>0</v>
      </c>
    </row>
    <row r="436" spans="1:26" x14ac:dyDescent="0.25">
      <c r="A436" s="9"/>
      <c r="B436" s="12" t="str">
        <f t="shared" si="25"/>
        <v xml:space="preserve"> </v>
      </c>
      <c r="C436" s="10" t="str">
        <f t="shared" si="24"/>
        <v xml:space="preserve"> </v>
      </c>
      <c r="D436" s="10">
        <f t="shared" si="26"/>
        <v>0</v>
      </c>
      <c r="E436" s="10">
        <f t="shared" si="27"/>
        <v>0</v>
      </c>
      <c r="W436" t="str">
        <f>IFERROR(MID(Проливка[[#This Row],[Штрихкод ]],1,FIND("-",Проливка[[#This Row],[Штрихкод ]],1)-1)," ")</f>
        <v xml:space="preserve"> </v>
      </c>
      <c r="X436" t="str">
        <f>IFERROR(RIGHT(Проливка[[#This Row],[Штрихкод ]],LEN(Проливка[[#This Row],[Штрихкод ]])-SEARCH("-",Проливка[[#This Row],[Штрихкод ]],1))," ")</f>
        <v xml:space="preserve"> </v>
      </c>
      <c r="Y436">
        <f>IFERROR(VLOOKUP(Проливка[[#This Row],[ID]]*1,'Срок хранения'!A436:B534,2,0),0)</f>
        <v>0</v>
      </c>
      <c r="Z436">
        <f>IFERROR(VLOOKUP(Проливка[[#This Row],[ID]]*1,'Срок хранения'!A436:C534,3,0),0)</f>
        <v>0</v>
      </c>
    </row>
    <row r="437" spans="1:26" x14ac:dyDescent="0.25">
      <c r="A437" s="9"/>
      <c r="B437" s="12" t="str">
        <f t="shared" si="25"/>
        <v xml:space="preserve"> </v>
      </c>
      <c r="C437" s="10" t="str">
        <f t="shared" si="24"/>
        <v xml:space="preserve"> </v>
      </c>
      <c r="D437" s="10">
        <f t="shared" si="26"/>
        <v>0</v>
      </c>
      <c r="E437" s="10">
        <f t="shared" si="27"/>
        <v>0</v>
      </c>
      <c r="W437" t="str">
        <f>IFERROR(MID(Проливка[[#This Row],[Штрихкод ]],1,FIND("-",Проливка[[#This Row],[Штрихкод ]],1)-1)," ")</f>
        <v xml:space="preserve"> </v>
      </c>
      <c r="X437" t="str">
        <f>IFERROR(RIGHT(Проливка[[#This Row],[Штрихкод ]],LEN(Проливка[[#This Row],[Штрихкод ]])-SEARCH("-",Проливка[[#This Row],[Штрихкод ]],1))," ")</f>
        <v xml:space="preserve"> </v>
      </c>
      <c r="Y437">
        <f>IFERROR(VLOOKUP(Проливка[[#This Row],[ID]]*1,'Срок хранения'!A437:B535,2,0),0)</f>
        <v>0</v>
      </c>
      <c r="Z437">
        <f>IFERROR(VLOOKUP(Проливка[[#This Row],[ID]]*1,'Срок хранения'!A437:C535,3,0),0)</f>
        <v>0</v>
      </c>
    </row>
    <row r="438" spans="1:26" x14ac:dyDescent="0.25">
      <c r="A438" s="9"/>
      <c r="B438" s="12" t="str">
        <f t="shared" si="25"/>
        <v xml:space="preserve"> </v>
      </c>
      <c r="C438" s="10" t="str">
        <f t="shared" si="24"/>
        <v xml:space="preserve"> </v>
      </c>
      <c r="D438" s="10">
        <f t="shared" si="26"/>
        <v>0</v>
      </c>
      <c r="E438" s="10">
        <f t="shared" si="27"/>
        <v>0</v>
      </c>
      <c r="W438" t="str">
        <f>IFERROR(MID(Проливка[[#This Row],[Штрихкод ]],1,FIND("-",Проливка[[#This Row],[Штрихкод ]],1)-1)," ")</f>
        <v xml:space="preserve"> </v>
      </c>
      <c r="X438" t="str">
        <f>IFERROR(RIGHT(Проливка[[#This Row],[Штрихкод ]],LEN(Проливка[[#This Row],[Штрихкод ]])-SEARCH("-",Проливка[[#This Row],[Штрихкод ]],1))," ")</f>
        <v xml:space="preserve"> </v>
      </c>
      <c r="Y438">
        <f>IFERROR(VLOOKUP(Проливка[[#This Row],[ID]]*1,'Срок хранения'!A438:B536,2,0),0)</f>
        <v>0</v>
      </c>
      <c r="Z438">
        <f>IFERROR(VLOOKUP(Проливка[[#This Row],[ID]]*1,'Срок хранения'!A438:C536,3,0),0)</f>
        <v>0</v>
      </c>
    </row>
    <row r="439" spans="1:26" x14ac:dyDescent="0.25">
      <c r="A439" s="9"/>
      <c r="B439" s="12" t="str">
        <f t="shared" si="25"/>
        <v xml:space="preserve"> </v>
      </c>
      <c r="C439" s="10" t="str">
        <f t="shared" si="24"/>
        <v xml:space="preserve"> </v>
      </c>
      <c r="D439" s="10">
        <f t="shared" si="26"/>
        <v>0</v>
      </c>
      <c r="E439" s="10">
        <f t="shared" si="27"/>
        <v>0</v>
      </c>
      <c r="W439" t="str">
        <f>IFERROR(MID(Проливка[[#This Row],[Штрихкод ]],1,FIND("-",Проливка[[#This Row],[Штрихкод ]],1)-1)," ")</f>
        <v xml:space="preserve"> </v>
      </c>
      <c r="X439" t="str">
        <f>IFERROR(RIGHT(Проливка[[#This Row],[Штрихкод ]],LEN(Проливка[[#This Row],[Штрихкод ]])-SEARCH("-",Проливка[[#This Row],[Штрихкод ]],1))," ")</f>
        <v xml:space="preserve"> </v>
      </c>
      <c r="Y439">
        <f>IFERROR(VLOOKUP(Проливка[[#This Row],[ID]]*1,'Срок хранения'!A439:B537,2,0),0)</f>
        <v>0</v>
      </c>
      <c r="Z439">
        <f>IFERROR(VLOOKUP(Проливка[[#This Row],[ID]]*1,'Срок хранения'!A439:C537,3,0),0)</f>
        <v>0</v>
      </c>
    </row>
    <row r="440" spans="1:26" x14ac:dyDescent="0.25">
      <c r="A440" s="9"/>
      <c r="B440" s="12" t="str">
        <f t="shared" si="25"/>
        <v xml:space="preserve"> </v>
      </c>
      <c r="C440" s="10" t="str">
        <f t="shared" si="24"/>
        <v xml:space="preserve"> </v>
      </c>
      <c r="D440" s="10">
        <f t="shared" si="26"/>
        <v>0</v>
      </c>
      <c r="E440" s="10">
        <f t="shared" si="27"/>
        <v>0</v>
      </c>
      <c r="W440" t="str">
        <f>IFERROR(MID(Проливка[[#This Row],[Штрихкод ]],1,FIND("-",Проливка[[#This Row],[Штрихкод ]],1)-1)," ")</f>
        <v xml:space="preserve"> </v>
      </c>
      <c r="X440" t="str">
        <f>IFERROR(RIGHT(Проливка[[#This Row],[Штрихкод ]],LEN(Проливка[[#This Row],[Штрихкод ]])-SEARCH("-",Проливка[[#This Row],[Штрихкод ]],1))," ")</f>
        <v xml:space="preserve"> </v>
      </c>
      <c r="Y440">
        <f>IFERROR(VLOOKUP(Проливка[[#This Row],[ID]]*1,'Срок хранения'!A440:B538,2,0),0)</f>
        <v>0</v>
      </c>
      <c r="Z440">
        <f>IFERROR(VLOOKUP(Проливка[[#This Row],[ID]]*1,'Срок хранения'!A440:C538,3,0),0)</f>
        <v>0</v>
      </c>
    </row>
    <row r="441" spans="1:26" x14ac:dyDescent="0.25">
      <c r="A441" s="9"/>
      <c r="B441" s="12" t="str">
        <f t="shared" si="25"/>
        <v xml:space="preserve"> </v>
      </c>
      <c r="C441" s="10" t="str">
        <f t="shared" si="24"/>
        <v xml:space="preserve"> </v>
      </c>
      <c r="D441" s="10">
        <f t="shared" si="26"/>
        <v>0</v>
      </c>
      <c r="E441" s="10">
        <f t="shared" si="27"/>
        <v>0</v>
      </c>
      <c r="W441" t="str">
        <f>IFERROR(MID(Проливка[[#This Row],[Штрихкод ]],1,FIND("-",Проливка[[#This Row],[Штрихкод ]],1)-1)," ")</f>
        <v xml:space="preserve"> </v>
      </c>
      <c r="X441" t="str">
        <f>IFERROR(RIGHT(Проливка[[#This Row],[Штрихкод ]],LEN(Проливка[[#This Row],[Штрихкод ]])-SEARCH("-",Проливка[[#This Row],[Штрихкод ]],1))," ")</f>
        <v xml:space="preserve"> </v>
      </c>
      <c r="Y441">
        <f>IFERROR(VLOOKUP(Проливка[[#This Row],[ID]]*1,'Срок хранения'!A441:B539,2,0),0)</f>
        <v>0</v>
      </c>
      <c r="Z441">
        <f>IFERROR(VLOOKUP(Проливка[[#This Row],[ID]]*1,'Срок хранения'!A441:C539,3,0),0)</f>
        <v>0</v>
      </c>
    </row>
    <row r="442" spans="1:26" x14ac:dyDescent="0.25">
      <c r="A442" s="9"/>
      <c r="B442" s="12" t="str">
        <f t="shared" si="25"/>
        <v xml:space="preserve"> </v>
      </c>
      <c r="C442" s="10" t="str">
        <f t="shared" si="24"/>
        <v xml:space="preserve"> </v>
      </c>
      <c r="D442" s="10">
        <f t="shared" si="26"/>
        <v>0</v>
      </c>
      <c r="E442" s="10">
        <f t="shared" si="27"/>
        <v>0</v>
      </c>
      <c r="W442" t="str">
        <f>IFERROR(MID(Проливка[[#This Row],[Штрихкод ]],1,FIND("-",Проливка[[#This Row],[Штрихкод ]],1)-1)," ")</f>
        <v xml:space="preserve"> </v>
      </c>
      <c r="X442" t="str">
        <f>IFERROR(RIGHT(Проливка[[#This Row],[Штрихкод ]],LEN(Проливка[[#This Row],[Штрихкод ]])-SEARCH("-",Проливка[[#This Row],[Штрихкод ]],1))," ")</f>
        <v xml:space="preserve"> </v>
      </c>
      <c r="Y442">
        <f>IFERROR(VLOOKUP(Проливка[[#This Row],[ID]]*1,'Срок хранения'!A442:B540,2,0),0)</f>
        <v>0</v>
      </c>
      <c r="Z442">
        <f>IFERROR(VLOOKUP(Проливка[[#This Row],[ID]]*1,'Срок хранения'!A442:C540,3,0),0)</f>
        <v>0</v>
      </c>
    </row>
    <row r="443" spans="1:26" x14ac:dyDescent="0.25">
      <c r="A443" s="9"/>
      <c r="B443" s="12" t="str">
        <f t="shared" si="25"/>
        <v xml:space="preserve"> </v>
      </c>
      <c r="C443" s="10" t="str">
        <f t="shared" si="24"/>
        <v xml:space="preserve"> </v>
      </c>
      <c r="D443" s="10">
        <f t="shared" si="26"/>
        <v>0</v>
      </c>
      <c r="E443" s="10">
        <f t="shared" si="27"/>
        <v>0</v>
      </c>
      <c r="W443" t="str">
        <f>IFERROR(MID(Проливка[[#This Row],[Штрихкод ]],1,FIND("-",Проливка[[#This Row],[Штрихкод ]],1)-1)," ")</f>
        <v xml:space="preserve"> </v>
      </c>
      <c r="X443" t="str">
        <f>IFERROR(RIGHT(Проливка[[#This Row],[Штрихкод ]],LEN(Проливка[[#This Row],[Штрихкод ]])-SEARCH("-",Проливка[[#This Row],[Штрихкод ]],1))," ")</f>
        <v xml:space="preserve"> </v>
      </c>
      <c r="Y443">
        <f>IFERROR(VLOOKUP(Проливка[[#This Row],[ID]]*1,'Срок хранения'!A443:B541,2,0),0)</f>
        <v>0</v>
      </c>
      <c r="Z443">
        <f>IFERROR(VLOOKUP(Проливка[[#This Row],[ID]]*1,'Срок хранения'!A443:C541,3,0),0)</f>
        <v>0</v>
      </c>
    </row>
    <row r="444" spans="1:26" x14ac:dyDescent="0.25">
      <c r="A444" s="9"/>
      <c r="B444" s="12" t="str">
        <f t="shared" si="25"/>
        <v xml:space="preserve"> </v>
      </c>
      <c r="C444" s="10" t="str">
        <f t="shared" si="24"/>
        <v xml:space="preserve"> </v>
      </c>
      <c r="D444" s="10">
        <f t="shared" si="26"/>
        <v>0</v>
      </c>
      <c r="E444" s="10">
        <f t="shared" si="27"/>
        <v>0</v>
      </c>
      <c r="W444" t="str">
        <f>IFERROR(MID(Проливка[[#This Row],[Штрихкод ]],1,FIND("-",Проливка[[#This Row],[Штрихкод ]],1)-1)," ")</f>
        <v xml:space="preserve"> </v>
      </c>
      <c r="X444" t="str">
        <f>IFERROR(RIGHT(Проливка[[#This Row],[Штрихкод ]],LEN(Проливка[[#This Row],[Штрихкод ]])-SEARCH("-",Проливка[[#This Row],[Штрихкод ]],1))," ")</f>
        <v xml:space="preserve"> </v>
      </c>
      <c r="Y444">
        <f>IFERROR(VLOOKUP(Проливка[[#This Row],[ID]]*1,'Срок хранения'!A444:B542,2,0),0)</f>
        <v>0</v>
      </c>
      <c r="Z444">
        <f>IFERROR(VLOOKUP(Проливка[[#This Row],[ID]]*1,'Срок хранения'!A444:C542,3,0),0)</f>
        <v>0</v>
      </c>
    </row>
    <row r="445" spans="1:26" x14ac:dyDescent="0.25">
      <c r="A445" s="9"/>
      <c r="B445" s="12" t="str">
        <f t="shared" si="25"/>
        <v xml:space="preserve"> </v>
      </c>
      <c r="C445" s="10" t="str">
        <f t="shared" si="24"/>
        <v xml:space="preserve"> </v>
      </c>
      <c r="D445" s="10">
        <f t="shared" si="26"/>
        <v>0</v>
      </c>
      <c r="E445" s="10">
        <f t="shared" si="27"/>
        <v>0</v>
      </c>
      <c r="W445" t="str">
        <f>IFERROR(MID(Проливка[[#This Row],[Штрихкод ]],1,FIND("-",Проливка[[#This Row],[Штрихкод ]],1)-1)," ")</f>
        <v xml:space="preserve"> </v>
      </c>
      <c r="X445" t="str">
        <f>IFERROR(RIGHT(Проливка[[#This Row],[Штрихкод ]],LEN(Проливка[[#This Row],[Штрихкод ]])-SEARCH("-",Проливка[[#This Row],[Штрихкод ]],1))," ")</f>
        <v xml:space="preserve"> </v>
      </c>
      <c r="Y445">
        <f>IFERROR(VLOOKUP(Проливка[[#This Row],[ID]]*1,'Срок хранения'!A445:B543,2,0),0)</f>
        <v>0</v>
      </c>
      <c r="Z445">
        <f>IFERROR(VLOOKUP(Проливка[[#This Row],[ID]]*1,'Срок хранения'!A445:C543,3,0),0)</f>
        <v>0</v>
      </c>
    </row>
    <row r="446" spans="1:26" x14ac:dyDescent="0.25">
      <c r="A446" s="9"/>
      <c r="B446" s="12" t="str">
        <f t="shared" si="25"/>
        <v xml:space="preserve"> </v>
      </c>
      <c r="C446" s="10" t="str">
        <f t="shared" si="24"/>
        <v xml:space="preserve"> </v>
      </c>
      <c r="D446" s="10">
        <f t="shared" si="26"/>
        <v>0</v>
      </c>
      <c r="E446" s="10">
        <f t="shared" si="27"/>
        <v>0</v>
      </c>
      <c r="W446" t="str">
        <f>IFERROR(MID(Проливка[[#This Row],[Штрихкод ]],1,FIND("-",Проливка[[#This Row],[Штрихкод ]],1)-1)," ")</f>
        <v xml:space="preserve"> </v>
      </c>
      <c r="X446" t="str">
        <f>IFERROR(RIGHT(Проливка[[#This Row],[Штрихкод ]],LEN(Проливка[[#This Row],[Штрихкод ]])-SEARCH("-",Проливка[[#This Row],[Штрихкод ]],1))," ")</f>
        <v xml:space="preserve"> </v>
      </c>
      <c r="Y446">
        <f>IFERROR(VLOOKUP(Проливка[[#This Row],[ID]]*1,'Срок хранения'!A446:B544,2,0),0)</f>
        <v>0</v>
      </c>
      <c r="Z446">
        <f>IFERROR(VLOOKUP(Проливка[[#This Row],[ID]]*1,'Срок хранения'!A446:C544,3,0),0)</f>
        <v>0</v>
      </c>
    </row>
    <row r="447" spans="1:26" x14ac:dyDescent="0.25">
      <c r="A447" s="9"/>
      <c r="B447" s="12" t="str">
        <f t="shared" si="25"/>
        <v xml:space="preserve"> </v>
      </c>
      <c r="C447" s="10" t="str">
        <f t="shared" si="24"/>
        <v xml:space="preserve"> </v>
      </c>
      <c r="D447" s="10">
        <f t="shared" si="26"/>
        <v>0</v>
      </c>
      <c r="E447" s="10">
        <f t="shared" si="27"/>
        <v>0</v>
      </c>
      <c r="W447" t="str">
        <f>IFERROR(MID(Проливка[[#This Row],[Штрихкод ]],1,FIND("-",Проливка[[#This Row],[Штрихкод ]],1)-1)," ")</f>
        <v xml:space="preserve"> </v>
      </c>
      <c r="X447" t="str">
        <f>IFERROR(RIGHT(Проливка[[#This Row],[Штрихкод ]],LEN(Проливка[[#This Row],[Штрихкод ]])-SEARCH("-",Проливка[[#This Row],[Штрихкод ]],1))," ")</f>
        <v xml:space="preserve"> </v>
      </c>
      <c r="Y447">
        <f>IFERROR(VLOOKUP(Проливка[[#This Row],[ID]]*1,'Срок хранения'!A447:B545,2,0),0)</f>
        <v>0</v>
      </c>
      <c r="Z447">
        <f>IFERROR(VLOOKUP(Проливка[[#This Row],[ID]]*1,'Срок хранения'!A447:C545,3,0),0)</f>
        <v>0</v>
      </c>
    </row>
    <row r="448" spans="1:26" x14ac:dyDescent="0.25">
      <c r="A448" s="9"/>
      <c r="B448" s="12" t="str">
        <f t="shared" si="25"/>
        <v xml:space="preserve"> </v>
      </c>
      <c r="C448" s="10" t="str">
        <f t="shared" si="24"/>
        <v xml:space="preserve"> </v>
      </c>
      <c r="D448" s="10">
        <f t="shared" si="26"/>
        <v>0</v>
      </c>
      <c r="E448" s="10">
        <f t="shared" si="27"/>
        <v>0</v>
      </c>
      <c r="W448" t="str">
        <f>IFERROR(MID(Проливка[[#This Row],[Штрихкод ]],1,FIND("-",Проливка[[#This Row],[Штрихкод ]],1)-1)," ")</f>
        <v xml:space="preserve"> </v>
      </c>
      <c r="X448" t="str">
        <f>IFERROR(RIGHT(Проливка[[#This Row],[Штрихкод ]],LEN(Проливка[[#This Row],[Штрихкод ]])-SEARCH("-",Проливка[[#This Row],[Штрихкод ]],1))," ")</f>
        <v xml:space="preserve"> </v>
      </c>
      <c r="Y448">
        <f>IFERROR(VLOOKUP(Проливка[[#This Row],[ID]]*1,'Срок хранения'!A448:B546,2,0),0)</f>
        <v>0</v>
      </c>
      <c r="Z448">
        <f>IFERROR(VLOOKUP(Проливка[[#This Row],[ID]]*1,'Срок хранения'!A448:C546,3,0),0)</f>
        <v>0</v>
      </c>
    </row>
    <row r="449" spans="1:26" x14ac:dyDescent="0.25">
      <c r="A449" s="9"/>
      <c r="B449" s="12" t="str">
        <f t="shared" si="25"/>
        <v xml:space="preserve"> </v>
      </c>
      <c r="C449" s="10" t="str">
        <f t="shared" si="24"/>
        <v xml:space="preserve"> </v>
      </c>
      <c r="D449" s="10">
        <f t="shared" si="26"/>
        <v>0</v>
      </c>
      <c r="E449" s="10">
        <f t="shared" si="27"/>
        <v>0</v>
      </c>
      <c r="W449" t="str">
        <f>IFERROR(MID(Проливка[[#This Row],[Штрихкод ]],1,FIND("-",Проливка[[#This Row],[Штрихкод ]],1)-1)," ")</f>
        <v xml:space="preserve"> </v>
      </c>
      <c r="X449" t="str">
        <f>IFERROR(RIGHT(Проливка[[#This Row],[Штрихкод ]],LEN(Проливка[[#This Row],[Штрихкод ]])-SEARCH("-",Проливка[[#This Row],[Штрихкод ]],1))," ")</f>
        <v xml:space="preserve"> </v>
      </c>
      <c r="Y449">
        <f>IFERROR(VLOOKUP(Проливка[[#This Row],[ID]]*1,'Срок хранения'!A449:B547,2,0),0)</f>
        <v>0</v>
      </c>
      <c r="Z449">
        <f>IFERROR(VLOOKUP(Проливка[[#This Row],[ID]]*1,'Срок хранения'!A449:C547,3,0),0)</f>
        <v>0</v>
      </c>
    </row>
    <row r="450" spans="1:26" x14ac:dyDescent="0.25">
      <c r="A450" s="9"/>
      <c r="B450" s="12" t="str">
        <f t="shared" si="25"/>
        <v xml:space="preserve"> </v>
      </c>
      <c r="C450" s="10" t="str">
        <f t="shared" ref="C450:C513" si="28">X450</f>
        <v xml:space="preserve"> </v>
      </c>
      <c r="D450" s="10">
        <f t="shared" si="26"/>
        <v>0</v>
      </c>
      <c r="E450" s="10">
        <f t="shared" si="27"/>
        <v>0</v>
      </c>
      <c r="W450" t="str">
        <f>IFERROR(MID(Проливка[[#This Row],[Штрихкод ]],1,FIND("-",Проливка[[#This Row],[Штрихкод ]],1)-1)," ")</f>
        <v xml:space="preserve"> </v>
      </c>
      <c r="X450" t="str">
        <f>IFERROR(RIGHT(Проливка[[#This Row],[Штрихкод ]],LEN(Проливка[[#This Row],[Штрихкод ]])-SEARCH("-",Проливка[[#This Row],[Штрихкод ]],1))," ")</f>
        <v xml:space="preserve"> </v>
      </c>
      <c r="Y450">
        <f>IFERROR(VLOOKUP(Проливка[[#This Row],[ID]]*1,'Срок хранения'!A450:B548,2,0),0)</f>
        <v>0</v>
      </c>
      <c r="Z450">
        <f>IFERROR(VLOOKUP(Проливка[[#This Row],[ID]]*1,'Срок хранения'!A450:C548,3,0),0)</f>
        <v>0</v>
      </c>
    </row>
    <row r="451" spans="1:26" x14ac:dyDescent="0.25">
      <c r="A451" s="9"/>
      <c r="B451" s="12" t="str">
        <f t="shared" ref="B451:B514" si="29">W451</f>
        <v xml:space="preserve"> </v>
      </c>
      <c r="C451" s="10" t="str">
        <f t="shared" si="28"/>
        <v xml:space="preserve"> </v>
      </c>
      <c r="D451" s="10">
        <f t="shared" ref="D451:D514" si="30">Y451</f>
        <v>0</v>
      </c>
      <c r="E451" s="10">
        <f t="shared" ref="E451:E514" si="31">Z451</f>
        <v>0</v>
      </c>
      <c r="W451" t="str">
        <f>IFERROR(MID(Проливка[[#This Row],[Штрихкод ]],1,FIND("-",Проливка[[#This Row],[Штрихкод ]],1)-1)," ")</f>
        <v xml:space="preserve"> </v>
      </c>
      <c r="X451" t="str">
        <f>IFERROR(RIGHT(Проливка[[#This Row],[Штрихкод ]],LEN(Проливка[[#This Row],[Штрихкод ]])-SEARCH("-",Проливка[[#This Row],[Штрихкод ]],1))," ")</f>
        <v xml:space="preserve"> </v>
      </c>
      <c r="Y451">
        <f>IFERROR(VLOOKUP(Проливка[[#This Row],[ID]]*1,'Срок хранения'!A451:B549,2,0),0)</f>
        <v>0</v>
      </c>
      <c r="Z451">
        <f>IFERROR(VLOOKUP(Проливка[[#This Row],[ID]]*1,'Срок хранения'!A451:C549,3,0),0)</f>
        <v>0</v>
      </c>
    </row>
    <row r="452" spans="1:26" x14ac:dyDescent="0.25">
      <c r="A452" s="9"/>
      <c r="B452" s="12" t="str">
        <f t="shared" si="29"/>
        <v xml:space="preserve"> </v>
      </c>
      <c r="C452" s="10" t="str">
        <f t="shared" si="28"/>
        <v xml:space="preserve"> </v>
      </c>
      <c r="D452" s="10">
        <f t="shared" si="30"/>
        <v>0</v>
      </c>
      <c r="E452" s="10">
        <f t="shared" si="31"/>
        <v>0</v>
      </c>
      <c r="W452" t="str">
        <f>IFERROR(MID(Проливка[[#This Row],[Штрихкод ]],1,FIND("-",Проливка[[#This Row],[Штрихкод ]],1)-1)," ")</f>
        <v xml:space="preserve"> </v>
      </c>
      <c r="X452" t="str">
        <f>IFERROR(RIGHT(Проливка[[#This Row],[Штрихкод ]],LEN(Проливка[[#This Row],[Штрихкод ]])-SEARCH("-",Проливка[[#This Row],[Штрихкод ]],1))," ")</f>
        <v xml:space="preserve"> </v>
      </c>
      <c r="Y452">
        <f>IFERROR(VLOOKUP(Проливка[[#This Row],[ID]]*1,'Срок хранения'!A452:B550,2,0),0)</f>
        <v>0</v>
      </c>
      <c r="Z452">
        <f>IFERROR(VLOOKUP(Проливка[[#This Row],[ID]]*1,'Срок хранения'!A452:C550,3,0),0)</f>
        <v>0</v>
      </c>
    </row>
    <row r="453" spans="1:26" x14ac:dyDescent="0.25">
      <c r="A453" s="9"/>
      <c r="B453" s="12" t="str">
        <f t="shared" si="29"/>
        <v xml:space="preserve"> </v>
      </c>
      <c r="C453" s="10" t="str">
        <f t="shared" si="28"/>
        <v xml:space="preserve"> </v>
      </c>
      <c r="D453" s="10">
        <f t="shared" si="30"/>
        <v>0</v>
      </c>
      <c r="E453" s="10">
        <f t="shared" si="31"/>
        <v>0</v>
      </c>
      <c r="W453" t="str">
        <f>IFERROR(MID(Проливка[[#This Row],[Штрихкод ]],1,FIND("-",Проливка[[#This Row],[Штрихкод ]],1)-1)," ")</f>
        <v xml:space="preserve"> </v>
      </c>
      <c r="X453" t="str">
        <f>IFERROR(RIGHT(Проливка[[#This Row],[Штрихкод ]],LEN(Проливка[[#This Row],[Штрихкод ]])-SEARCH("-",Проливка[[#This Row],[Штрихкод ]],1))," ")</f>
        <v xml:space="preserve"> </v>
      </c>
      <c r="Y453">
        <f>IFERROR(VLOOKUP(Проливка[[#This Row],[ID]]*1,'Срок хранения'!A453:B551,2,0),0)</f>
        <v>0</v>
      </c>
      <c r="Z453">
        <f>IFERROR(VLOOKUP(Проливка[[#This Row],[ID]]*1,'Срок хранения'!A453:C551,3,0),0)</f>
        <v>0</v>
      </c>
    </row>
    <row r="454" spans="1:26" x14ac:dyDescent="0.25">
      <c r="A454" s="9"/>
      <c r="B454" s="12" t="str">
        <f t="shared" si="29"/>
        <v xml:space="preserve"> </v>
      </c>
      <c r="C454" s="10" t="str">
        <f t="shared" si="28"/>
        <v xml:space="preserve"> </v>
      </c>
      <c r="D454" s="10">
        <f t="shared" si="30"/>
        <v>0</v>
      </c>
      <c r="E454" s="10">
        <f t="shared" si="31"/>
        <v>0</v>
      </c>
      <c r="W454" t="str">
        <f>IFERROR(MID(Проливка[[#This Row],[Штрихкод ]],1,FIND("-",Проливка[[#This Row],[Штрихкод ]],1)-1)," ")</f>
        <v xml:space="preserve"> </v>
      </c>
      <c r="X454" t="str">
        <f>IFERROR(RIGHT(Проливка[[#This Row],[Штрихкод ]],LEN(Проливка[[#This Row],[Штрихкод ]])-SEARCH("-",Проливка[[#This Row],[Штрихкод ]],1))," ")</f>
        <v xml:space="preserve"> </v>
      </c>
      <c r="Y454">
        <f>IFERROR(VLOOKUP(Проливка[[#This Row],[ID]]*1,'Срок хранения'!A454:B552,2,0),0)</f>
        <v>0</v>
      </c>
      <c r="Z454">
        <f>IFERROR(VLOOKUP(Проливка[[#This Row],[ID]]*1,'Срок хранения'!A454:C552,3,0),0)</f>
        <v>0</v>
      </c>
    </row>
    <row r="455" spans="1:26" x14ac:dyDescent="0.25">
      <c r="A455" s="9"/>
      <c r="B455" s="12" t="str">
        <f t="shared" si="29"/>
        <v xml:space="preserve"> </v>
      </c>
      <c r="C455" s="10" t="str">
        <f t="shared" si="28"/>
        <v xml:space="preserve"> </v>
      </c>
      <c r="D455" s="10">
        <f t="shared" si="30"/>
        <v>0</v>
      </c>
      <c r="E455" s="10">
        <f t="shared" si="31"/>
        <v>0</v>
      </c>
      <c r="W455" t="str">
        <f>IFERROR(MID(Проливка[[#This Row],[Штрихкод ]],1,FIND("-",Проливка[[#This Row],[Штрихкод ]],1)-1)," ")</f>
        <v xml:space="preserve"> </v>
      </c>
      <c r="X455" t="str">
        <f>IFERROR(RIGHT(Проливка[[#This Row],[Штрихкод ]],LEN(Проливка[[#This Row],[Штрихкод ]])-SEARCH("-",Проливка[[#This Row],[Штрихкод ]],1))," ")</f>
        <v xml:space="preserve"> </v>
      </c>
      <c r="Y455">
        <f>IFERROR(VLOOKUP(Проливка[[#This Row],[ID]]*1,'Срок хранения'!A455:B553,2,0),0)</f>
        <v>0</v>
      </c>
      <c r="Z455">
        <f>IFERROR(VLOOKUP(Проливка[[#This Row],[ID]]*1,'Срок хранения'!A455:C553,3,0),0)</f>
        <v>0</v>
      </c>
    </row>
    <row r="456" spans="1:26" x14ac:dyDescent="0.25">
      <c r="A456" s="9"/>
      <c r="B456" s="12" t="str">
        <f t="shared" si="29"/>
        <v xml:space="preserve"> </v>
      </c>
      <c r="C456" s="10" t="str">
        <f t="shared" si="28"/>
        <v xml:space="preserve"> </v>
      </c>
      <c r="D456" s="10">
        <f t="shared" si="30"/>
        <v>0</v>
      </c>
      <c r="E456" s="10">
        <f t="shared" si="31"/>
        <v>0</v>
      </c>
      <c r="W456" t="str">
        <f>IFERROR(MID(Проливка[[#This Row],[Штрихкод ]],1,FIND("-",Проливка[[#This Row],[Штрихкод ]],1)-1)," ")</f>
        <v xml:space="preserve"> </v>
      </c>
      <c r="X456" t="str">
        <f>IFERROR(RIGHT(Проливка[[#This Row],[Штрихкод ]],LEN(Проливка[[#This Row],[Штрихкод ]])-SEARCH("-",Проливка[[#This Row],[Штрихкод ]],1))," ")</f>
        <v xml:space="preserve"> </v>
      </c>
      <c r="Y456">
        <f>IFERROR(VLOOKUP(Проливка[[#This Row],[ID]]*1,'Срок хранения'!A456:B554,2,0),0)</f>
        <v>0</v>
      </c>
      <c r="Z456">
        <f>IFERROR(VLOOKUP(Проливка[[#This Row],[ID]]*1,'Срок хранения'!A456:C554,3,0),0)</f>
        <v>0</v>
      </c>
    </row>
    <row r="457" spans="1:26" x14ac:dyDescent="0.25">
      <c r="A457" s="9"/>
      <c r="B457" s="12" t="str">
        <f t="shared" si="29"/>
        <v xml:space="preserve"> </v>
      </c>
      <c r="C457" s="10" t="str">
        <f t="shared" si="28"/>
        <v xml:space="preserve"> </v>
      </c>
      <c r="D457" s="10">
        <f t="shared" si="30"/>
        <v>0</v>
      </c>
      <c r="E457" s="10">
        <f t="shared" si="31"/>
        <v>0</v>
      </c>
      <c r="W457" t="str">
        <f>IFERROR(MID(Проливка[[#This Row],[Штрихкод ]],1,FIND("-",Проливка[[#This Row],[Штрихкод ]],1)-1)," ")</f>
        <v xml:space="preserve"> </v>
      </c>
      <c r="X457" t="str">
        <f>IFERROR(RIGHT(Проливка[[#This Row],[Штрихкод ]],LEN(Проливка[[#This Row],[Штрихкод ]])-SEARCH("-",Проливка[[#This Row],[Штрихкод ]],1))," ")</f>
        <v xml:space="preserve"> </v>
      </c>
      <c r="Y457">
        <f>IFERROR(VLOOKUP(Проливка[[#This Row],[ID]]*1,'Срок хранения'!A457:B555,2,0),0)</f>
        <v>0</v>
      </c>
      <c r="Z457">
        <f>IFERROR(VLOOKUP(Проливка[[#This Row],[ID]]*1,'Срок хранения'!A457:C555,3,0),0)</f>
        <v>0</v>
      </c>
    </row>
    <row r="458" spans="1:26" x14ac:dyDescent="0.25">
      <c r="A458" s="9"/>
      <c r="B458" s="12" t="str">
        <f t="shared" si="29"/>
        <v xml:space="preserve"> </v>
      </c>
      <c r="C458" s="10" t="str">
        <f t="shared" si="28"/>
        <v xml:space="preserve"> </v>
      </c>
      <c r="D458" s="10">
        <f t="shared" si="30"/>
        <v>0</v>
      </c>
      <c r="E458" s="10">
        <f t="shared" si="31"/>
        <v>0</v>
      </c>
      <c r="W458" t="str">
        <f>IFERROR(MID(Проливка[[#This Row],[Штрихкод ]],1,FIND("-",Проливка[[#This Row],[Штрихкод ]],1)-1)," ")</f>
        <v xml:space="preserve"> </v>
      </c>
      <c r="X458" t="str">
        <f>IFERROR(RIGHT(Проливка[[#This Row],[Штрихкод ]],LEN(Проливка[[#This Row],[Штрихкод ]])-SEARCH("-",Проливка[[#This Row],[Штрихкод ]],1))," ")</f>
        <v xml:space="preserve"> </v>
      </c>
      <c r="Y458">
        <f>IFERROR(VLOOKUP(Проливка[[#This Row],[ID]]*1,'Срок хранения'!A458:B556,2,0),0)</f>
        <v>0</v>
      </c>
      <c r="Z458">
        <f>IFERROR(VLOOKUP(Проливка[[#This Row],[ID]]*1,'Срок хранения'!A458:C556,3,0),0)</f>
        <v>0</v>
      </c>
    </row>
    <row r="459" spans="1:26" x14ac:dyDescent="0.25">
      <c r="A459" s="9"/>
      <c r="B459" s="12" t="str">
        <f t="shared" si="29"/>
        <v xml:space="preserve"> </v>
      </c>
      <c r="C459" s="10" t="str">
        <f t="shared" si="28"/>
        <v xml:space="preserve"> </v>
      </c>
      <c r="D459" s="10">
        <f t="shared" si="30"/>
        <v>0</v>
      </c>
      <c r="E459" s="10">
        <f t="shared" si="31"/>
        <v>0</v>
      </c>
      <c r="W459" t="str">
        <f>IFERROR(MID(Проливка[[#This Row],[Штрихкод ]],1,FIND("-",Проливка[[#This Row],[Штрихкод ]],1)-1)," ")</f>
        <v xml:space="preserve"> </v>
      </c>
      <c r="X459" t="str">
        <f>IFERROR(RIGHT(Проливка[[#This Row],[Штрихкод ]],LEN(Проливка[[#This Row],[Штрихкод ]])-SEARCH("-",Проливка[[#This Row],[Штрихкод ]],1))," ")</f>
        <v xml:space="preserve"> </v>
      </c>
      <c r="Y459">
        <f>IFERROR(VLOOKUP(Проливка[[#This Row],[ID]]*1,'Срок хранения'!A459:B557,2,0),0)</f>
        <v>0</v>
      </c>
      <c r="Z459">
        <f>IFERROR(VLOOKUP(Проливка[[#This Row],[ID]]*1,'Срок хранения'!A459:C557,3,0),0)</f>
        <v>0</v>
      </c>
    </row>
    <row r="460" spans="1:26" x14ac:dyDescent="0.25">
      <c r="A460" s="9"/>
      <c r="B460" s="12" t="str">
        <f t="shared" si="29"/>
        <v xml:space="preserve"> </v>
      </c>
      <c r="C460" s="10" t="str">
        <f t="shared" si="28"/>
        <v xml:space="preserve"> </v>
      </c>
      <c r="D460" s="10">
        <f t="shared" si="30"/>
        <v>0</v>
      </c>
      <c r="E460" s="10">
        <f t="shared" si="31"/>
        <v>0</v>
      </c>
      <c r="W460" t="str">
        <f>IFERROR(MID(Проливка[[#This Row],[Штрихкод ]],1,FIND("-",Проливка[[#This Row],[Штрихкод ]],1)-1)," ")</f>
        <v xml:space="preserve"> </v>
      </c>
      <c r="X460" t="str">
        <f>IFERROR(RIGHT(Проливка[[#This Row],[Штрихкод ]],LEN(Проливка[[#This Row],[Штрихкод ]])-SEARCH("-",Проливка[[#This Row],[Штрихкод ]],1))," ")</f>
        <v xml:space="preserve"> </v>
      </c>
      <c r="Y460">
        <f>IFERROR(VLOOKUP(Проливка[[#This Row],[ID]]*1,'Срок хранения'!A460:B558,2,0),0)</f>
        <v>0</v>
      </c>
      <c r="Z460">
        <f>IFERROR(VLOOKUP(Проливка[[#This Row],[ID]]*1,'Срок хранения'!A460:C558,3,0),0)</f>
        <v>0</v>
      </c>
    </row>
    <row r="461" spans="1:26" x14ac:dyDescent="0.25">
      <c r="A461" s="9"/>
      <c r="B461" s="12" t="str">
        <f t="shared" si="29"/>
        <v xml:space="preserve"> </v>
      </c>
      <c r="C461" s="10" t="str">
        <f t="shared" si="28"/>
        <v xml:space="preserve"> </v>
      </c>
      <c r="D461" s="10">
        <f t="shared" si="30"/>
        <v>0</v>
      </c>
      <c r="E461" s="10">
        <f t="shared" si="31"/>
        <v>0</v>
      </c>
      <c r="W461" t="str">
        <f>IFERROR(MID(Проливка[[#This Row],[Штрихкод ]],1,FIND("-",Проливка[[#This Row],[Штрихкод ]],1)-1)," ")</f>
        <v xml:space="preserve"> </v>
      </c>
      <c r="X461" t="str">
        <f>IFERROR(RIGHT(Проливка[[#This Row],[Штрихкод ]],LEN(Проливка[[#This Row],[Штрихкод ]])-SEARCH("-",Проливка[[#This Row],[Штрихкод ]],1))," ")</f>
        <v xml:space="preserve"> </v>
      </c>
      <c r="Y461">
        <f>IFERROR(VLOOKUP(Проливка[[#This Row],[ID]]*1,'Срок хранения'!A461:B559,2,0),0)</f>
        <v>0</v>
      </c>
      <c r="Z461">
        <f>IFERROR(VLOOKUP(Проливка[[#This Row],[ID]]*1,'Срок хранения'!A461:C559,3,0),0)</f>
        <v>0</v>
      </c>
    </row>
    <row r="462" spans="1:26" x14ac:dyDescent="0.25">
      <c r="A462" s="9"/>
      <c r="B462" s="12" t="str">
        <f t="shared" si="29"/>
        <v xml:space="preserve"> </v>
      </c>
      <c r="C462" s="10" t="str">
        <f t="shared" si="28"/>
        <v xml:space="preserve"> </v>
      </c>
      <c r="D462" s="10">
        <f t="shared" si="30"/>
        <v>0</v>
      </c>
      <c r="E462" s="10">
        <f t="shared" si="31"/>
        <v>0</v>
      </c>
      <c r="W462" t="str">
        <f>IFERROR(MID(Проливка[[#This Row],[Штрихкод ]],1,FIND("-",Проливка[[#This Row],[Штрихкод ]],1)-1)," ")</f>
        <v xml:space="preserve"> </v>
      </c>
      <c r="X462" t="str">
        <f>IFERROR(RIGHT(Проливка[[#This Row],[Штрихкод ]],LEN(Проливка[[#This Row],[Штрихкод ]])-SEARCH("-",Проливка[[#This Row],[Штрихкод ]],1))," ")</f>
        <v xml:space="preserve"> </v>
      </c>
      <c r="Y462">
        <f>IFERROR(VLOOKUP(Проливка[[#This Row],[ID]]*1,'Срок хранения'!A462:B560,2,0),0)</f>
        <v>0</v>
      </c>
      <c r="Z462">
        <f>IFERROR(VLOOKUP(Проливка[[#This Row],[ID]]*1,'Срок хранения'!A462:C560,3,0),0)</f>
        <v>0</v>
      </c>
    </row>
    <row r="463" spans="1:26" x14ac:dyDescent="0.25">
      <c r="A463" s="9"/>
      <c r="B463" s="12" t="str">
        <f t="shared" si="29"/>
        <v xml:space="preserve"> </v>
      </c>
      <c r="C463" s="10" t="str">
        <f t="shared" si="28"/>
        <v xml:space="preserve"> </v>
      </c>
      <c r="D463" s="10">
        <f t="shared" si="30"/>
        <v>0</v>
      </c>
      <c r="E463" s="10">
        <f t="shared" si="31"/>
        <v>0</v>
      </c>
      <c r="W463" t="str">
        <f>IFERROR(MID(Проливка[[#This Row],[Штрихкод ]],1,FIND("-",Проливка[[#This Row],[Штрихкод ]],1)-1)," ")</f>
        <v xml:space="preserve"> </v>
      </c>
      <c r="X463" t="str">
        <f>IFERROR(RIGHT(Проливка[[#This Row],[Штрихкод ]],LEN(Проливка[[#This Row],[Штрихкод ]])-SEARCH("-",Проливка[[#This Row],[Штрихкод ]],1))," ")</f>
        <v xml:space="preserve"> </v>
      </c>
      <c r="Y463">
        <f>IFERROR(VLOOKUP(Проливка[[#This Row],[ID]]*1,'Срок хранения'!A463:B561,2,0),0)</f>
        <v>0</v>
      </c>
      <c r="Z463">
        <f>IFERROR(VLOOKUP(Проливка[[#This Row],[ID]]*1,'Срок хранения'!A463:C561,3,0),0)</f>
        <v>0</v>
      </c>
    </row>
    <row r="464" spans="1:26" x14ac:dyDescent="0.25">
      <c r="A464" s="9"/>
      <c r="B464" s="12" t="str">
        <f t="shared" si="29"/>
        <v xml:space="preserve"> </v>
      </c>
      <c r="C464" s="10" t="str">
        <f t="shared" si="28"/>
        <v xml:space="preserve"> </v>
      </c>
      <c r="D464" s="10">
        <f t="shared" si="30"/>
        <v>0</v>
      </c>
      <c r="E464" s="10">
        <f t="shared" si="31"/>
        <v>0</v>
      </c>
      <c r="W464" t="str">
        <f>IFERROR(MID(Проливка[[#This Row],[Штрихкод ]],1,FIND("-",Проливка[[#This Row],[Штрихкод ]],1)-1)," ")</f>
        <v xml:space="preserve"> </v>
      </c>
      <c r="X464" t="str">
        <f>IFERROR(RIGHT(Проливка[[#This Row],[Штрихкод ]],LEN(Проливка[[#This Row],[Штрихкод ]])-SEARCH("-",Проливка[[#This Row],[Штрихкод ]],1))," ")</f>
        <v xml:space="preserve"> </v>
      </c>
      <c r="Y464">
        <f>IFERROR(VLOOKUP(Проливка[[#This Row],[ID]]*1,'Срок хранения'!A464:B562,2,0),0)</f>
        <v>0</v>
      </c>
      <c r="Z464">
        <f>IFERROR(VLOOKUP(Проливка[[#This Row],[ID]]*1,'Срок хранения'!A464:C562,3,0),0)</f>
        <v>0</v>
      </c>
    </row>
    <row r="465" spans="1:26" x14ac:dyDescent="0.25">
      <c r="A465" s="9"/>
      <c r="B465" s="12" t="str">
        <f t="shared" si="29"/>
        <v xml:space="preserve"> </v>
      </c>
      <c r="C465" s="10" t="str">
        <f t="shared" si="28"/>
        <v xml:space="preserve"> </v>
      </c>
      <c r="D465" s="10">
        <f t="shared" si="30"/>
        <v>0</v>
      </c>
      <c r="E465" s="10">
        <f t="shared" si="31"/>
        <v>0</v>
      </c>
      <c r="W465" t="str">
        <f>IFERROR(MID(Проливка[[#This Row],[Штрихкод ]],1,FIND("-",Проливка[[#This Row],[Штрихкод ]],1)-1)," ")</f>
        <v xml:space="preserve"> </v>
      </c>
      <c r="X465" t="str">
        <f>IFERROR(RIGHT(Проливка[[#This Row],[Штрихкод ]],LEN(Проливка[[#This Row],[Штрихкод ]])-SEARCH("-",Проливка[[#This Row],[Штрихкод ]],1))," ")</f>
        <v xml:space="preserve"> </v>
      </c>
      <c r="Y465">
        <f>IFERROR(VLOOKUP(Проливка[[#This Row],[ID]]*1,'Срок хранения'!A465:B563,2,0),0)</f>
        <v>0</v>
      </c>
      <c r="Z465">
        <f>IFERROR(VLOOKUP(Проливка[[#This Row],[ID]]*1,'Срок хранения'!A465:C563,3,0),0)</f>
        <v>0</v>
      </c>
    </row>
    <row r="466" spans="1:26" x14ac:dyDescent="0.25">
      <c r="A466" s="9"/>
      <c r="B466" s="12" t="str">
        <f t="shared" si="29"/>
        <v xml:space="preserve"> </v>
      </c>
      <c r="C466" s="10" t="str">
        <f t="shared" si="28"/>
        <v xml:space="preserve"> </v>
      </c>
      <c r="D466" s="10">
        <f t="shared" si="30"/>
        <v>0</v>
      </c>
      <c r="E466" s="10">
        <f t="shared" si="31"/>
        <v>0</v>
      </c>
      <c r="W466" t="str">
        <f>IFERROR(MID(Проливка[[#This Row],[Штрихкод ]],1,FIND("-",Проливка[[#This Row],[Штрихкод ]],1)-1)," ")</f>
        <v xml:space="preserve"> </v>
      </c>
      <c r="X466" t="str">
        <f>IFERROR(RIGHT(Проливка[[#This Row],[Штрихкод ]],LEN(Проливка[[#This Row],[Штрихкод ]])-SEARCH("-",Проливка[[#This Row],[Штрихкод ]],1))," ")</f>
        <v xml:space="preserve"> </v>
      </c>
      <c r="Y466">
        <f>IFERROR(VLOOKUP(Проливка[[#This Row],[ID]]*1,'Срок хранения'!A466:B564,2,0),0)</f>
        <v>0</v>
      </c>
      <c r="Z466">
        <f>IFERROR(VLOOKUP(Проливка[[#This Row],[ID]]*1,'Срок хранения'!A466:C564,3,0),0)</f>
        <v>0</v>
      </c>
    </row>
    <row r="467" spans="1:26" x14ac:dyDescent="0.25">
      <c r="A467" s="9"/>
      <c r="B467" s="12" t="str">
        <f t="shared" si="29"/>
        <v xml:space="preserve"> </v>
      </c>
      <c r="C467" s="10" t="str">
        <f t="shared" si="28"/>
        <v xml:space="preserve"> </v>
      </c>
      <c r="D467" s="10">
        <f t="shared" si="30"/>
        <v>0</v>
      </c>
      <c r="E467" s="10">
        <f t="shared" si="31"/>
        <v>0</v>
      </c>
      <c r="W467" t="str">
        <f>IFERROR(MID(Проливка[[#This Row],[Штрихкод ]],1,FIND("-",Проливка[[#This Row],[Штрихкод ]],1)-1)," ")</f>
        <v xml:space="preserve"> </v>
      </c>
      <c r="X467" t="str">
        <f>IFERROR(RIGHT(Проливка[[#This Row],[Штрихкод ]],LEN(Проливка[[#This Row],[Штрихкод ]])-SEARCH("-",Проливка[[#This Row],[Штрихкод ]],1))," ")</f>
        <v xml:space="preserve"> </v>
      </c>
      <c r="Y467">
        <f>IFERROR(VLOOKUP(Проливка[[#This Row],[ID]]*1,'Срок хранения'!A467:B565,2,0),0)</f>
        <v>0</v>
      </c>
      <c r="Z467">
        <f>IFERROR(VLOOKUP(Проливка[[#This Row],[ID]]*1,'Срок хранения'!A467:C565,3,0),0)</f>
        <v>0</v>
      </c>
    </row>
    <row r="468" spans="1:26" x14ac:dyDescent="0.25">
      <c r="A468" s="9"/>
      <c r="B468" s="12" t="str">
        <f t="shared" si="29"/>
        <v xml:space="preserve"> </v>
      </c>
      <c r="C468" s="10" t="str">
        <f t="shared" si="28"/>
        <v xml:space="preserve"> </v>
      </c>
      <c r="D468" s="10">
        <f t="shared" si="30"/>
        <v>0</v>
      </c>
      <c r="E468" s="10">
        <f t="shared" si="31"/>
        <v>0</v>
      </c>
      <c r="W468" t="str">
        <f>IFERROR(MID(Проливка[[#This Row],[Штрихкод ]],1,FIND("-",Проливка[[#This Row],[Штрихкод ]],1)-1)," ")</f>
        <v xml:space="preserve"> </v>
      </c>
      <c r="X468" t="str">
        <f>IFERROR(RIGHT(Проливка[[#This Row],[Штрихкод ]],LEN(Проливка[[#This Row],[Штрихкод ]])-SEARCH("-",Проливка[[#This Row],[Штрихкод ]],1))," ")</f>
        <v xml:space="preserve"> </v>
      </c>
      <c r="Y468">
        <f>IFERROR(VLOOKUP(Проливка[[#This Row],[ID]]*1,'Срок хранения'!A468:B566,2,0),0)</f>
        <v>0</v>
      </c>
      <c r="Z468">
        <f>IFERROR(VLOOKUP(Проливка[[#This Row],[ID]]*1,'Срок хранения'!A468:C566,3,0),0)</f>
        <v>0</v>
      </c>
    </row>
    <row r="469" spans="1:26" x14ac:dyDescent="0.25">
      <c r="A469" s="9"/>
      <c r="B469" s="12" t="str">
        <f t="shared" si="29"/>
        <v xml:space="preserve"> </v>
      </c>
      <c r="C469" s="10" t="str">
        <f t="shared" si="28"/>
        <v xml:space="preserve"> </v>
      </c>
      <c r="D469" s="10">
        <f t="shared" si="30"/>
        <v>0</v>
      </c>
      <c r="E469" s="10">
        <f t="shared" si="31"/>
        <v>0</v>
      </c>
      <c r="W469" t="str">
        <f>IFERROR(MID(Проливка[[#This Row],[Штрихкод ]],1,FIND("-",Проливка[[#This Row],[Штрихкод ]],1)-1)," ")</f>
        <v xml:space="preserve"> </v>
      </c>
      <c r="X469" t="str">
        <f>IFERROR(RIGHT(Проливка[[#This Row],[Штрихкод ]],LEN(Проливка[[#This Row],[Штрихкод ]])-SEARCH("-",Проливка[[#This Row],[Штрихкод ]],1))," ")</f>
        <v xml:space="preserve"> </v>
      </c>
      <c r="Y469">
        <f>IFERROR(VLOOKUP(Проливка[[#This Row],[ID]]*1,'Срок хранения'!A469:B567,2,0),0)</f>
        <v>0</v>
      </c>
      <c r="Z469">
        <f>IFERROR(VLOOKUP(Проливка[[#This Row],[ID]]*1,'Срок хранения'!A469:C567,3,0),0)</f>
        <v>0</v>
      </c>
    </row>
    <row r="470" spans="1:26" x14ac:dyDescent="0.25">
      <c r="A470" s="9"/>
      <c r="B470" s="12" t="str">
        <f t="shared" si="29"/>
        <v xml:space="preserve"> </v>
      </c>
      <c r="C470" s="10" t="str">
        <f t="shared" si="28"/>
        <v xml:space="preserve"> </v>
      </c>
      <c r="D470" s="10">
        <f t="shared" si="30"/>
        <v>0</v>
      </c>
      <c r="E470" s="10">
        <f t="shared" si="31"/>
        <v>0</v>
      </c>
      <c r="W470" t="str">
        <f>IFERROR(MID(Проливка[[#This Row],[Штрихкод ]],1,FIND("-",Проливка[[#This Row],[Штрихкод ]],1)-1)," ")</f>
        <v xml:space="preserve"> </v>
      </c>
      <c r="X470" t="str">
        <f>IFERROR(RIGHT(Проливка[[#This Row],[Штрихкод ]],LEN(Проливка[[#This Row],[Штрихкод ]])-SEARCH("-",Проливка[[#This Row],[Штрихкод ]],1))," ")</f>
        <v xml:space="preserve"> </v>
      </c>
      <c r="Y470">
        <f>IFERROR(VLOOKUP(Проливка[[#This Row],[ID]]*1,'Срок хранения'!A470:B568,2,0),0)</f>
        <v>0</v>
      </c>
      <c r="Z470">
        <f>IFERROR(VLOOKUP(Проливка[[#This Row],[ID]]*1,'Срок хранения'!A470:C568,3,0),0)</f>
        <v>0</v>
      </c>
    </row>
    <row r="471" spans="1:26" x14ac:dyDescent="0.25">
      <c r="A471" s="9"/>
      <c r="B471" s="12" t="str">
        <f t="shared" si="29"/>
        <v xml:space="preserve"> </v>
      </c>
      <c r="C471" s="10" t="str">
        <f t="shared" si="28"/>
        <v xml:space="preserve"> </v>
      </c>
      <c r="D471" s="10">
        <f t="shared" si="30"/>
        <v>0</v>
      </c>
      <c r="E471" s="10">
        <f t="shared" si="31"/>
        <v>0</v>
      </c>
      <c r="W471" t="str">
        <f>IFERROR(MID(Проливка[[#This Row],[Штрихкод ]],1,FIND("-",Проливка[[#This Row],[Штрихкод ]],1)-1)," ")</f>
        <v xml:space="preserve"> </v>
      </c>
      <c r="X471" t="str">
        <f>IFERROR(RIGHT(Проливка[[#This Row],[Штрихкод ]],LEN(Проливка[[#This Row],[Штрихкод ]])-SEARCH("-",Проливка[[#This Row],[Штрихкод ]],1))," ")</f>
        <v xml:space="preserve"> </v>
      </c>
      <c r="Y471">
        <f>IFERROR(VLOOKUP(Проливка[[#This Row],[ID]]*1,'Срок хранения'!A471:B569,2,0),0)</f>
        <v>0</v>
      </c>
      <c r="Z471">
        <f>IFERROR(VLOOKUP(Проливка[[#This Row],[ID]]*1,'Срок хранения'!A471:C569,3,0),0)</f>
        <v>0</v>
      </c>
    </row>
    <row r="472" spans="1:26" x14ac:dyDescent="0.25">
      <c r="A472" s="9"/>
      <c r="B472" s="12" t="str">
        <f t="shared" si="29"/>
        <v xml:space="preserve"> </v>
      </c>
      <c r="C472" s="10" t="str">
        <f t="shared" si="28"/>
        <v xml:space="preserve"> </v>
      </c>
      <c r="D472" s="10">
        <f t="shared" si="30"/>
        <v>0</v>
      </c>
      <c r="E472" s="10">
        <f t="shared" si="31"/>
        <v>0</v>
      </c>
      <c r="W472" t="str">
        <f>IFERROR(MID(Проливка[[#This Row],[Штрихкод ]],1,FIND("-",Проливка[[#This Row],[Штрихкод ]],1)-1)," ")</f>
        <v xml:space="preserve"> </v>
      </c>
      <c r="X472" t="str">
        <f>IFERROR(RIGHT(Проливка[[#This Row],[Штрихкод ]],LEN(Проливка[[#This Row],[Штрихкод ]])-SEARCH("-",Проливка[[#This Row],[Штрихкод ]],1))," ")</f>
        <v xml:space="preserve"> </v>
      </c>
      <c r="Y472">
        <f>IFERROR(VLOOKUP(Проливка[[#This Row],[ID]]*1,'Срок хранения'!A472:B570,2,0),0)</f>
        <v>0</v>
      </c>
      <c r="Z472">
        <f>IFERROR(VLOOKUP(Проливка[[#This Row],[ID]]*1,'Срок хранения'!A472:C570,3,0),0)</f>
        <v>0</v>
      </c>
    </row>
    <row r="473" spans="1:26" x14ac:dyDescent="0.25">
      <c r="A473" s="9"/>
      <c r="B473" s="12" t="str">
        <f t="shared" si="29"/>
        <v xml:space="preserve"> </v>
      </c>
      <c r="C473" s="10" t="str">
        <f t="shared" si="28"/>
        <v xml:space="preserve"> </v>
      </c>
      <c r="D473" s="10">
        <f t="shared" si="30"/>
        <v>0</v>
      </c>
      <c r="E473" s="10">
        <f t="shared" si="31"/>
        <v>0</v>
      </c>
      <c r="W473" t="str">
        <f>IFERROR(MID(Проливка[[#This Row],[Штрихкод ]],1,FIND("-",Проливка[[#This Row],[Штрихкод ]],1)-1)," ")</f>
        <v xml:space="preserve"> </v>
      </c>
      <c r="X473" t="str">
        <f>IFERROR(RIGHT(Проливка[[#This Row],[Штрихкод ]],LEN(Проливка[[#This Row],[Штрихкод ]])-SEARCH("-",Проливка[[#This Row],[Штрихкод ]],1))," ")</f>
        <v xml:space="preserve"> </v>
      </c>
      <c r="Y473">
        <f>IFERROR(VLOOKUP(Проливка[[#This Row],[ID]]*1,'Срок хранения'!A473:B571,2,0),0)</f>
        <v>0</v>
      </c>
      <c r="Z473">
        <f>IFERROR(VLOOKUP(Проливка[[#This Row],[ID]]*1,'Срок хранения'!A473:C571,3,0),0)</f>
        <v>0</v>
      </c>
    </row>
    <row r="474" spans="1:26" x14ac:dyDescent="0.25">
      <c r="A474" s="9"/>
      <c r="B474" s="12" t="str">
        <f t="shared" si="29"/>
        <v xml:space="preserve"> </v>
      </c>
      <c r="C474" s="10" t="str">
        <f t="shared" si="28"/>
        <v xml:space="preserve"> </v>
      </c>
      <c r="D474" s="10">
        <f t="shared" si="30"/>
        <v>0</v>
      </c>
      <c r="E474" s="10">
        <f t="shared" si="31"/>
        <v>0</v>
      </c>
      <c r="W474" t="str">
        <f>IFERROR(MID(Проливка[[#This Row],[Штрихкод ]],1,FIND("-",Проливка[[#This Row],[Штрихкод ]],1)-1)," ")</f>
        <v xml:space="preserve"> </v>
      </c>
      <c r="X474" t="str">
        <f>IFERROR(RIGHT(Проливка[[#This Row],[Штрихкод ]],LEN(Проливка[[#This Row],[Штрихкод ]])-SEARCH("-",Проливка[[#This Row],[Штрихкод ]],1))," ")</f>
        <v xml:space="preserve"> </v>
      </c>
      <c r="Y474">
        <f>IFERROR(VLOOKUP(Проливка[[#This Row],[ID]]*1,'Срок хранения'!A474:B572,2,0),0)</f>
        <v>0</v>
      </c>
      <c r="Z474">
        <f>IFERROR(VLOOKUP(Проливка[[#This Row],[ID]]*1,'Срок хранения'!A474:C572,3,0),0)</f>
        <v>0</v>
      </c>
    </row>
    <row r="475" spans="1:26" x14ac:dyDescent="0.25">
      <c r="A475" s="9"/>
      <c r="B475" s="12" t="str">
        <f t="shared" si="29"/>
        <v xml:space="preserve"> </v>
      </c>
      <c r="C475" s="10" t="str">
        <f t="shared" si="28"/>
        <v xml:space="preserve"> </v>
      </c>
      <c r="D475" s="10">
        <f t="shared" si="30"/>
        <v>0</v>
      </c>
      <c r="E475" s="10">
        <f t="shared" si="31"/>
        <v>0</v>
      </c>
      <c r="W475" t="str">
        <f>IFERROR(MID(Проливка[[#This Row],[Штрихкод ]],1,FIND("-",Проливка[[#This Row],[Штрихкод ]],1)-1)," ")</f>
        <v xml:space="preserve"> </v>
      </c>
      <c r="X475" t="str">
        <f>IFERROR(RIGHT(Проливка[[#This Row],[Штрихкод ]],LEN(Проливка[[#This Row],[Штрихкод ]])-SEARCH("-",Проливка[[#This Row],[Штрихкод ]],1))," ")</f>
        <v xml:space="preserve"> </v>
      </c>
      <c r="Y475">
        <f>IFERROR(VLOOKUP(Проливка[[#This Row],[ID]]*1,'Срок хранения'!A475:B573,2,0),0)</f>
        <v>0</v>
      </c>
      <c r="Z475">
        <f>IFERROR(VLOOKUP(Проливка[[#This Row],[ID]]*1,'Срок хранения'!A475:C573,3,0),0)</f>
        <v>0</v>
      </c>
    </row>
    <row r="476" spans="1:26" x14ac:dyDescent="0.25">
      <c r="A476" s="9"/>
      <c r="B476" s="12" t="str">
        <f t="shared" si="29"/>
        <v xml:space="preserve"> </v>
      </c>
      <c r="C476" s="10" t="str">
        <f t="shared" si="28"/>
        <v xml:space="preserve"> </v>
      </c>
      <c r="D476" s="10">
        <f t="shared" si="30"/>
        <v>0</v>
      </c>
      <c r="E476" s="10">
        <f t="shared" si="31"/>
        <v>0</v>
      </c>
      <c r="W476" t="str">
        <f>IFERROR(MID(Проливка[[#This Row],[Штрихкод ]],1,FIND("-",Проливка[[#This Row],[Штрихкод ]],1)-1)," ")</f>
        <v xml:space="preserve"> </v>
      </c>
      <c r="X476" t="str">
        <f>IFERROR(RIGHT(Проливка[[#This Row],[Штрихкод ]],LEN(Проливка[[#This Row],[Штрихкод ]])-SEARCH("-",Проливка[[#This Row],[Штрихкод ]],1))," ")</f>
        <v xml:space="preserve"> </v>
      </c>
      <c r="Y476">
        <f>IFERROR(VLOOKUP(Проливка[[#This Row],[ID]]*1,'Срок хранения'!A476:B574,2,0),0)</f>
        <v>0</v>
      </c>
      <c r="Z476">
        <f>IFERROR(VLOOKUP(Проливка[[#This Row],[ID]]*1,'Срок хранения'!A476:C574,3,0),0)</f>
        <v>0</v>
      </c>
    </row>
    <row r="477" spans="1:26" x14ac:dyDescent="0.25">
      <c r="A477" s="9"/>
      <c r="B477" s="12" t="str">
        <f t="shared" si="29"/>
        <v xml:space="preserve"> </v>
      </c>
      <c r="C477" s="10" t="str">
        <f t="shared" si="28"/>
        <v xml:space="preserve"> </v>
      </c>
      <c r="D477" s="10">
        <f t="shared" si="30"/>
        <v>0</v>
      </c>
      <c r="E477" s="10">
        <f t="shared" si="31"/>
        <v>0</v>
      </c>
      <c r="W477" t="str">
        <f>IFERROR(MID(Проливка[[#This Row],[Штрихкод ]],1,FIND("-",Проливка[[#This Row],[Штрихкод ]],1)-1)," ")</f>
        <v xml:space="preserve"> </v>
      </c>
      <c r="X477" t="str">
        <f>IFERROR(RIGHT(Проливка[[#This Row],[Штрихкод ]],LEN(Проливка[[#This Row],[Штрихкод ]])-SEARCH("-",Проливка[[#This Row],[Штрихкод ]],1))," ")</f>
        <v xml:space="preserve"> </v>
      </c>
      <c r="Y477">
        <f>IFERROR(VLOOKUP(Проливка[[#This Row],[ID]]*1,'Срок хранения'!A477:B575,2,0),0)</f>
        <v>0</v>
      </c>
      <c r="Z477">
        <f>IFERROR(VLOOKUP(Проливка[[#This Row],[ID]]*1,'Срок хранения'!A477:C575,3,0),0)</f>
        <v>0</v>
      </c>
    </row>
    <row r="478" spans="1:26" x14ac:dyDescent="0.25">
      <c r="A478" s="9"/>
      <c r="B478" s="12" t="str">
        <f t="shared" si="29"/>
        <v xml:space="preserve"> </v>
      </c>
      <c r="C478" s="10" t="str">
        <f t="shared" si="28"/>
        <v xml:space="preserve"> </v>
      </c>
      <c r="D478" s="10">
        <f t="shared" si="30"/>
        <v>0</v>
      </c>
      <c r="E478" s="10">
        <f t="shared" si="31"/>
        <v>0</v>
      </c>
      <c r="W478" t="str">
        <f>IFERROR(MID(Проливка[[#This Row],[Штрихкод ]],1,FIND("-",Проливка[[#This Row],[Штрихкод ]],1)-1)," ")</f>
        <v xml:space="preserve"> </v>
      </c>
      <c r="X478" t="str">
        <f>IFERROR(RIGHT(Проливка[[#This Row],[Штрихкод ]],LEN(Проливка[[#This Row],[Штрихкод ]])-SEARCH("-",Проливка[[#This Row],[Штрихкод ]],1))," ")</f>
        <v xml:space="preserve"> </v>
      </c>
      <c r="Y478">
        <f>IFERROR(VLOOKUP(Проливка[[#This Row],[ID]]*1,'Срок хранения'!A478:B576,2,0),0)</f>
        <v>0</v>
      </c>
      <c r="Z478">
        <f>IFERROR(VLOOKUP(Проливка[[#This Row],[ID]]*1,'Срок хранения'!A478:C576,3,0),0)</f>
        <v>0</v>
      </c>
    </row>
    <row r="479" spans="1:26" x14ac:dyDescent="0.25">
      <c r="A479" s="9"/>
      <c r="B479" s="12" t="str">
        <f t="shared" si="29"/>
        <v xml:space="preserve"> </v>
      </c>
      <c r="C479" s="10" t="str">
        <f t="shared" si="28"/>
        <v xml:space="preserve"> </v>
      </c>
      <c r="D479" s="10">
        <f t="shared" si="30"/>
        <v>0</v>
      </c>
      <c r="E479" s="10">
        <f t="shared" si="31"/>
        <v>0</v>
      </c>
      <c r="W479" t="str">
        <f>IFERROR(MID(Проливка[[#This Row],[Штрихкод ]],1,FIND("-",Проливка[[#This Row],[Штрихкод ]],1)-1)," ")</f>
        <v xml:space="preserve"> </v>
      </c>
      <c r="X479" t="str">
        <f>IFERROR(RIGHT(Проливка[[#This Row],[Штрихкод ]],LEN(Проливка[[#This Row],[Штрихкод ]])-SEARCH("-",Проливка[[#This Row],[Штрихкод ]],1))," ")</f>
        <v xml:space="preserve"> </v>
      </c>
      <c r="Y479">
        <f>IFERROR(VLOOKUP(Проливка[[#This Row],[ID]]*1,'Срок хранения'!A479:B577,2,0),0)</f>
        <v>0</v>
      </c>
      <c r="Z479">
        <f>IFERROR(VLOOKUP(Проливка[[#This Row],[ID]]*1,'Срок хранения'!A479:C577,3,0),0)</f>
        <v>0</v>
      </c>
    </row>
    <row r="480" spans="1:26" x14ac:dyDescent="0.25">
      <c r="A480" s="9"/>
      <c r="B480" s="12" t="str">
        <f t="shared" si="29"/>
        <v xml:space="preserve"> </v>
      </c>
      <c r="C480" s="10" t="str">
        <f t="shared" si="28"/>
        <v xml:space="preserve"> </v>
      </c>
      <c r="D480" s="10">
        <f t="shared" si="30"/>
        <v>0</v>
      </c>
      <c r="E480" s="10">
        <f t="shared" si="31"/>
        <v>0</v>
      </c>
      <c r="W480" t="str">
        <f>IFERROR(MID(Проливка[[#This Row],[Штрихкод ]],1,FIND("-",Проливка[[#This Row],[Штрихкод ]],1)-1)," ")</f>
        <v xml:space="preserve"> </v>
      </c>
      <c r="X480" t="str">
        <f>IFERROR(RIGHT(Проливка[[#This Row],[Штрихкод ]],LEN(Проливка[[#This Row],[Штрихкод ]])-SEARCH("-",Проливка[[#This Row],[Штрихкод ]],1))," ")</f>
        <v xml:space="preserve"> </v>
      </c>
      <c r="Y480">
        <f>IFERROR(VLOOKUP(Проливка[[#This Row],[ID]]*1,'Срок хранения'!A480:B578,2,0),0)</f>
        <v>0</v>
      </c>
      <c r="Z480">
        <f>IFERROR(VLOOKUP(Проливка[[#This Row],[ID]]*1,'Срок хранения'!A480:C578,3,0),0)</f>
        <v>0</v>
      </c>
    </row>
    <row r="481" spans="1:26" x14ac:dyDescent="0.25">
      <c r="A481" s="9"/>
      <c r="B481" s="12" t="str">
        <f t="shared" si="29"/>
        <v xml:space="preserve"> </v>
      </c>
      <c r="C481" s="10" t="str">
        <f t="shared" si="28"/>
        <v xml:space="preserve"> </v>
      </c>
      <c r="D481" s="10">
        <f t="shared" si="30"/>
        <v>0</v>
      </c>
      <c r="E481" s="10">
        <f t="shared" si="31"/>
        <v>0</v>
      </c>
      <c r="W481" t="str">
        <f>IFERROR(MID(Проливка[[#This Row],[Штрихкод ]],1,FIND("-",Проливка[[#This Row],[Штрихкод ]],1)-1)," ")</f>
        <v xml:space="preserve"> </v>
      </c>
      <c r="X481" t="str">
        <f>IFERROR(RIGHT(Проливка[[#This Row],[Штрихкод ]],LEN(Проливка[[#This Row],[Штрихкод ]])-SEARCH("-",Проливка[[#This Row],[Штрихкод ]],1))," ")</f>
        <v xml:space="preserve"> </v>
      </c>
      <c r="Y481">
        <f>IFERROR(VLOOKUP(Проливка[[#This Row],[ID]]*1,'Срок хранения'!A481:B579,2,0),0)</f>
        <v>0</v>
      </c>
      <c r="Z481">
        <f>IFERROR(VLOOKUP(Проливка[[#This Row],[ID]]*1,'Срок хранения'!A481:C579,3,0),0)</f>
        <v>0</v>
      </c>
    </row>
    <row r="482" spans="1:26" x14ac:dyDescent="0.25">
      <c r="A482" s="9"/>
      <c r="B482" s="12" t="str">
        <f t="shared" si="29"/>
        <v xml:space="preserve"> </v>
      </c>
      <c r="C482" s="10" t="str">
        <f t="shared" si="28"/>
        <v xml:space="preserve"> </v>
      </c>
      <c r="D482" s="10">
        <f t="shared" si="30"/>
        <v>0</v>
      </c>
      <c r="E482" s="10">
        <f t="shared" si="31"/>
        <v>0</v>
      </c>
      <c r="W482" t="str">
        <f>IFERROR(MID(Проливка[[#This Row],[Штрихкод ]],1,FIND("-",Проливка[[#This Row],[Штрихкод ]],1)-1)," ")</f>
        <v xml:space="preserve"> </v>
      </c>
      <c r="X482" t="str">
        <f>IFERROR(RIGHT(Проливка[[#This Row],[Штрихкод ]],LEN(Проливка[[#This Row],[Штрихкод ]])-SEARCH("-",Проливка[[#This Row],[Штрихкод ]],1))," ")</f>
        <v xml:space="preserve"> </v>
      </c>
      <c r="Y482">
        <f>IFERROR(VLOOKUP(Проливка[[#This Row],[ID]]*1,'Срок хранения'!A482:B580,2,0),0)</f>
        <v>0</v>
      </c>
      <c r="Z482">
        <f>IFERROR(VLOOKUP(Проливка[[#This Row],[ID]]*1,'Срок хранения'!A482:C580,3,0),0)</f>
        <v>0</v>
      </c>
    </row>
    <row r="483" spans="1:26" x14ac:dyDescent="0.25">
      <c r="A483" s="9"/>
      <c r="B483" s="12" t="str">
        <f t="shared" si="29"/>
        <v xml:space="preserve"> </v>
      </c>
      <c r="C483" s="10" t="str">
        <f t="shared" si="28"/>
        <v xml:space="preserve"> </v>
      </c>
      <c r="D483" s="10">
        <f t="shared" si="30"/>
        <v>0</v>
      </c>
      <c r="E483" s="10">
        <f t="shared" si="31"/>
        <v>0</v>
      </c>
      <c r="W483" t="str">
        <f>IFERROR(MID(Проливка[[#This Row],[Штрихкод ]],1,FIND("-",Проливка[[#This Row],[Штрихкод ]],1)-1)," ")</f>
        <v xml:space="preserve"> </v>
      </c>
      <c r="X483" t="str">
        <f>IFERROR(RIGHT(Проливка[[#This Row],[Штрихкод ]],LEN(Проливка[[#This Row],[Штрихкод ]])-SEARCH("-",Проливка[[#This Row],[Штрихкод ]],1))," ")</f>
        <v xml:space="preserve"> </v>
      </c>
      <c r="Y483">
        <f>IFERROR(VLOOKUP(Проливка[[#This Row],[ID]]*1,'Срок хранения'!A483:B581,2,0),0)</f>
        <v>0</v>
      </c>
      <c r="Z483">
        <f>IFERROR(VLOOKUP(Проливка[[#This Row],[ID]]*1,'Срок хранения'!A483:C581,3,0),0)</f>
        <v>0</v>
      </c>
    </row>
    <row r="484" spans="1:26" x14ac:dyDescent="0.25">
      <c r="A484" s="9"/>
      <c r="B484" s="12" t="str">
        <f t="shared" si="29"/>
        <v xml:space="preserve"> </v>
      </c>
      <c r="C484" s="10" t="str">
        <f t="shared" si="28"/>
        <v xml:space="preserve"> </v>
      </c>
      <c r="D484" s="10">
        <f t="shared" si="30"/>
        <v>0</v>
      </c>
      <c r="E484" s="10">
        <f t="shared" si="31"/>
        <v>0</v>
      </c>
      <c r="W484" t="str">
        <f>IFERROR(MID(Проливка[[#This Row],[Штрихкод ]],1,FIND("-",Проливка[[#This Row],[Штрихкод ]],1)-1)," ")</f>
        <v xml:space="preserve"> </v>
      </c>
      <c r="X484" t="str">
        <f>IFERROR(RIGHT(Проливка[[#This Row],[Штрихкод ]],LEN(Проливка[[#This Row],[Штрихкод ]])-SEARCH("-",Проливка[[#This Row],[Штрихкод ]],1))," ")</f>
        <v xml:space="preserve"> </v>
      </c>
      <c r="Y484">
        <f>IFERROR(VLOOKUP(Проливка[[#This Row],[ID]]*1,'Срок хранения'!A484:B582,2,0),0)</f>
        <v>0</v>
      </c>
      <c r="Z484">
        <f>IFERROR(VLOOKUP(Проливка[[#This Row],[ID]]*1,'Срок хранения'!A484:C582,3,0),0)</f>
        <v>0</v>
      </c>
    </row>
    <row r="485" spans="1:26" x14ac:dyDescent="0.25">
      <c r="A485" s="9"/>
      <c r="B485" s="12" t="str">
        <f t="shared" si="29"/>
        <v xml:space="preserve"> </v>
      </c>
      <c r="C485" s="10" t="str">
        <f t="shared" si="28"/>
        <v xml:space="preserve"> </v>
      </c>
      <c r="D485" s="10">
        <f t="shared" si="30"/>
        <v>0</v>
      </c>
      <c r="E485" s="10">
        <f t="shared" si="31"/>
        <v>0</v>
      </c>
      <c r="W485" t="str">
        <f>IFERROR(MID(Проливка[[#This Row],[Штрихкод ]],1,FIND("-",Проливка[[#This Row],[Штрихкод ]],1)-1)," ")</f>
        <v xml:space="preserve"> </v>
      </c>
      <c r="X485" t="str">
        <f>IFERROR(RIGHT(Проливка[[#This Row],[Штрихкод ]],LEN(Проливка[[#This Row],[Штрихкод ]])-SEARCH("-",Проливка[[#This Row],[Штрихкод ]],1))," ")</f>
        <v xml:space="preserve"> </v>
      </c>
      <c r="Y485">
        <f>IFERROR(VLOOKUP(Проливка[[#This Row],[ID]]*1,'Срок хранения'!A485:B583,2,0),0)</f>
        <v>0</v>
      </c>
      <c r="Z485">
        <f>IFERROR(VLOOKUP(Проливка[[#This Row],[ID]]*1,'Срок хранения'!A485:C583,3,0),0)</f>
        <v>0</v>
      </c>
    </row>
    <row r="486" spans="1:26" x14ac:dyDescent="0.25">
      <c r="A486" s="9"/>
      <c r="B486" s="12" t="str">
        <f t="shared" si="29"/>
        <v xml:space="preserve"> </v>
      </c>
      <c r="C486" s="10" t="str">
        <f t="shared" si="28"/>
        <v xml:space="preserve"> </v>
      </c>
      <c r="D486" s="10">
        <f t="shared" si="30"/>
        <v>0</v>
      </c>
      <c r="E486" s="10">
        <f t="shared" si="31"/>
        <v>0</v>
      </c>
      <c r="W486" t="str">
        <f>IFERROR(MID(Проливка[[#This Row],[Штрихкод ]],1,FIND("-",Проливка[[#This Row],[Штрихкод ]],1)-1)," ")</f>
        <v xml:space="preserve"> </v>
      </c>
      <c r="X486" t="str">
        <f>IFERROR(RIGHT(Проливка[[#This Row],[Штрихкод ]],LEN(Проливка[[#This Row],[Штрихкод ]])-SEARCH("-",Проливка[[#This Row],[Штрихкод ]],1))," ")</f>
        <v xml:space="preserve"> </v>
      </c>
      <c r="Y486">
        <f>IFERROR(VLOOKUP(Проливка[[#This Row],[ID]]*1,'Срок хранения'!A486:B584,2,0),0)</f>
        <v>0</v>
      </c>
      <c r="Z486">
        <f>IFERROR(VLOOKUP(Проливка[[#This Row],[ID]]*1,'Срок хранения'!A486:C584,3,0),0)</f>
        <v>0</v>
      </c>
    </row>
    <row r="487" spans="1:26" x14ac:dyDescent="0.25">
      <c r="A487" s="9"/>
      <c r="B487" s="12" t="str">
        <f t="shared" si="29"/>
        <v xml:space="preserve"> </v>
      </c>
      <c r="C487" s="10" t="str">
        <f t="shared" si="28"/>
        <v xml:space="preserve"> </v>
      </c>
      <c r="D487" s="10">
        <f t="shared" si="30"/>
        <v>0</v>
      </c>
      <c r="E487" s="10">
        <f t="shared" si="31"/>
        <v>0</v>
      </c>
      <c r="W487" t="str">
        <f>IFERROR(MID(Проливка[[#This Row],[Штрихкод ]],1,FIND("-",Проливка[[#This Row],[Штрихкод ]],1)-1)," ")</f>
        <v xml:space="preserve"> </v>
      </c>
      <c r="X487" t="str">
        <f>IFERROR(RIGHT(Проливка[[#This Row],[Штрихкод ]],LEN(Проливка[[#This Row],[Штрихкод ]])-SEARCH("-",Проливка[[#This Row],[Штрихкод ]],1))," ")</f>
        <v xml:space="preserve"> </v>
      </c>
      <c r="Y487">
        <f>IFERROR(VLOOKUP(Проливка[[#This Row],[ID]]*1,'Срок хранения'!A487:B585,2,0),0)</f>
        <v>0</v>
      </c>
      <c r="Z487">
        <f>IFERROR(VLOOKUP(Проливка[[#This Row],[ID]]*1,'Срок хранения'!A487:C585,3,0),0)</f>
        <v>0</v>
      </c>
    </row>
    <row r="488" spans="1:26" x14ac:dyDescent="0.25">
      <c r="A488" s="9"/>
      <c r="B488" s="12" t="str">
        <f t="shared" si="29"/>
        <v xml:space="preserve"> </v>
      </c>
      <c r="C488" s="10" t="str">
        <f t="shared" si="28"/>
        <v xml:space="preserve"> </v>
      </c>
      <c r="D488" s="10">
        <f t="shared" si="30"/>
        <v>0</v>
      </c>
      <c r="E488" s="10">
        <f t="shared" si="31"/>
        <v>0</v>
      </c>
      <c r="W488" t="str">
        <f>IFERROR(MID(Проливка[[#This Row],[Штрихкод ]],1,FIND("-",Проливка[[#This Row],[Штрихкод ]],1)-1)," ")</f>
        <v xml:space="preserve"> </v>
      </c>
      <c r="X488" t="str">
        <f>IFERROR(RIGHT(Проливка[[#This Row],[Штрихкод ]],LEN(Проливка[[#This Row],[Штрихкод ]])-SEARCH("-",Проливка[[#This Row],[Штрихкод ]],1))," ")</f>
        <v xml:space="preserve"> </v>
      </c>
      <c r="Y488">
        <f>IFERROR(VLOOKUP(Проливка[[#This Row],[ID]]*1,'Срок хранения'!A488:B586,2,0),0)</f>
        <v>0</v>
      </c>
      <c r="Z488">
        <f>IFERROR(VLOOKUP(Проливка[[#This Row],[ID]]*1,'Срок хранения'!A488:C586,3,0),0)</f>
        <v>0</v>
      </c>
    </row>
    <row r="489" spans="1:26" x14ac:dyDescent="0.25">
      <c r="A489" s="9"/>
      <c r="B489" s="12" t="str">
        <f t="shared" si="29"/>
        <v xml:space="preserve"> </v>
      </c>
      <c r="C489" s="10" t="str">
        <f t="shared" si="28"/>
        <v xml:space="preserve"> </v>
      </c>
      <c r="D489" s="10">
        <f t="shared" si="30"/>
        <v>0</v>
      </c>
      <c r="E489" s="10">
        <f t="shared" si="31"/>
        <v>0</v>
      </c>
      <c r="W489" t="str">
        <f>IFERROR(MID(Проливка[[#This Row],[Штрихкод ]],1,FIND("-",Проливка[[#This Row],[Штрихкод ]],1)-1)," ")</f>
        <v xml:space="preserve"> </v>
      </c>
      <c r="X489" t="str">
        <f>IFERROR(RIGHT(Проливка[[#This Row],[Штрихкод ]],LEN(Проливка[[#This Row],[Штрихкод ]])-SEARCH("-",Проливка[[#This Row],[Штрихкод ]],1))," ")</f>
        <v xml:space="preserve"> </v>
      </c>
      <c r="Y489">
        <f>IFERROR(VLOOKUP(Проливка[[#This Row],[ID]]*1,'Срок хранения'!A489:B587,2,0),0)</f>
        <v>0</v>
      </c>
      <c r="Z489">
        <f>IFERROR(VLOOKUP(Проливка[[#This Row],[ID]]*1,'Срок хранения'!A489:C587,3,0),0)</f>
        <v>0</v>
      </c>
    </row>
    <row r="490" spans="1:26" x14ac:dyDescent="0.25">
      <c r="A490" s="9"/>
      <c r="B490" s="12" t="str">
        <f t="shared" si="29"/>
        <v xml:space="preserve"> </v>
      </c>
      <c r="C490" s="10" t="str">
        <f t="shared" si="28"/>
        <v xml:space="preserve"> </v>
      </c>
      <c r="D490" s="10">
        <f t="shared" si="30"/>
        <v>0</v>
      </c>
      <c r="E490" s="10">
        <f t="shared" si="31"/>
        <v>0</v>
      </c>
      <c r="W490" t="str">
        <f>IFERROR(MID(Проливка[[#This Row],[Штрихкод ]],1,FIND("-",Проливка[[#This Row],[Штрихкод ]],1)-1)," ")</f>
        <v xml:space="preserve"> </v>
      </c>
      <c r="X490" t="str">
        <f>IFERROR(RIGHT(Проливка[[#This Row],[Штрихкод ]],LEN(Проливка[[#This Row],[Штрихкод ]])-SEARCH("-",Проливка[[#This Row],[Штрихкод ]],1))," ")</f>
        <v xml:space="preserve"> </v>
      </c>
      <c r="Y490">
        <f>IFERROR(VLOOKUP(Проливка[[#This Row],[ID]]*1,'Срок хранения'!A490:B588,2,0),0)</f>
        <v>0</v>
      </c>
      <c r="Z490">
        <f>IFERROR(VLOOKUP(Проливка[[#This Row],[ID]]*1,'Срок хранения'!A490:C588,3,0),0)</f>
        <v>0</v>
      </c>
    </row>
    <row r="491" spans="1:26" x14ac:dyDescent="0.25">
      <c r="A491" s="9"/>
      <c r="B491" s="12" t="str">
        <f t="shared" si="29"/>
        <v xml:space="preserve"> </v>
      </c>
      <c r="C491" s="10" t="str">
        <f t="shared" si="28"/>
        <v xml:space="preserve"> </v>
      </c>
      <c r="D491" s="10">
        <f t="shared" si="30"/>
        <v>0</v>
      </c>
      <c r="E491" s="10">
        <f t="shared" si="31"/>
        <v>0</v>
      </c>
      <c r="W491" t="str">
        <f>IFERROR(MID(Проливка[[#This Row],[Штрихкод ]],1,FIND("-",Проливка[[#This Row],[Штрихкод ]],1)-1)," ")</f>
        <v xml:space="preserve"> </v>
      </c>
      <c r="X491" t="str">
        <f>IFERROR(RIGHT(Проливка[[#This Row],[Штрихкод ]],LEN(Проливка[[#This Row],[Штрихкод ]])-SEARCH("-",Проливка[[#This Row],[Штрихкод ]],1))," ")</f>
        <v xml:space="preserve"> </v>
      </c>
      <c r="Y491">
        <f>IFERROR(VLOOKUP(Проливка[[#This Row],[ID]]*1,'Срок хранения'!A491:B589,2,0),0)</f>
        <v>0</v>
      </c>
      <c r="Z491">
        <f>IFERROR(VLOOKUP(Проливка[[#This Row],[ID]]*1,'Срок хранения'!A491:C589,3,0),0)</f>
        <v>0</v>
      </c>
    </row>
    <row r="492" spans="1:26" x14ac:dyDescent="0.25">
      <c r="A492" s="9"/>
      <c r="B492" s="12" t="str">
        <f t="shared" si="29"/>
        <v xml:space="preserve"> </v>
      </c>
      <c r="C492" s="10" t="str">
        <f t="shared" si="28"/>
        <v xml:space="preserve"> </v>
      </c>
      <c r="D492" s="10">
        <f t="shared" si="30"/>
        <v>0</v>
      </c>
      <c r="E492" s="10">
        <f t="shared" si="31"/>
        <v>0</v>
      </c>
      <c r="W492" t="str">
        <f>IFERROR(MID(Проливка[[#This Row],[Штрихкод ]],1,FIND("-",Проливка[[#This Row],[Штрихкод ]],1)-1)," ")</f>
        <v xml:space="preserve"> </v>
      </c>
      <c r="X492" t="str">
        <f>IFERROR(RIGHT(Проливка[[#This Row],[Штрихкод ]],LEN(Проливка[[#This Row],[Штрихкод ]])-SEARCH("-",Проливка[[#This Row],[Штрихкод ]],1))," ")</f>
        <v xml:space="preserve"> </v>
      </c>
      <c r="Y492">
        <f>IFERROR(VLOOKUP(Проливка[[#This Row],[ID]]*1,'Срок хранения'!A492:B590,2,0),0)</f>
        <v>0</v>
      </c>
      <c r="Z492">
        <f>IFERROR(VLOOKUP(Проливка[[#This Row],[ID]]*1,'Срок хранения'!A492:C590,3,0),0)</f>
        <v>0</v>
      </c>
    </row>
    <row r="493" spans="1:26" x14ac:dyDescent="0.25">
      <c r="A493" s="9"/>
      <c r="B493" s="12" t="str">
        <f t="shared" si="29"/>
        <v xml:space="preserve"> </v>
      </c>
      <c r="C493" s="10" t="str">
        <f t="shared" si="28"/>
        <v xml:space="preserve"> </v>
      </c>
      <c r="D493" s="10">
        <f t="shared" si="30"/>
        <v>0</v>
      </c>
      <c r="E493" s="10">
        <f t="shared" si="31"/>
        <v>0</v>
      </c>
      <c r="W493" t="str">
        <f>IFERROR(MID(Проливка[[#This Row],[Штрихкод ]],1,FIND("-",Проливка[[#This Row],[Штрихкод ]],1)-1)," ")</f>
        <v xml:space="preserve"> </v>
      </c>
      <c r="X493" t="str">
        <f>IFERROR(RIGHT(Проливка[[#This Row],[Штрихкод ]],LEN(Проливка[[#This Row],[Штрихкод ]])-SEARCH("-",Проливка[[#This Row],[Штрихкод ]],1))," ")</f>
        <v xml:space="preserve"> </v>
      </c>
      <c r="Y493">
        <f>IFERROR(VLOOKUP(Проливка[[#This Row],[ID]]*1,'Срок хранения'!A493:B591,2,0),0)</f>
        <v>0</v>
      </c>
      <c r="Z493">
        <f>IFERROR(VLOOKUP(Проливка[[#This Row],[ID]]*1,'Срок хранения'!A493:C591,3,0),0)</f>
        <v>0</v>
      </c>
    </row>
    <row r="494" spans="1:26" x14ac:dyDescent="0.25">
      <c r="A494" s="9"/>
      <c r="B494" s="12" t="str">
        <f t="shared" si="29"/>
        <v xml:space="preserve"> </v>
      </c>
      <c r="C494" s="10" t="str">
        <f t="shared" si="28"/>
        <v xml:space="preserve"> </v>
      </c>
      <c r="D494" s="10">
        <f t="shared" si="30"/>
        <v>0</v>
      </c>
      <c r="E494" s="10">
        <f t="shared" si="31"/>
        <v>0</v>
      </c>
      <c r="W494" t="str">
        <f>IFERROR(MID(Проливка[[#This Row],[Штрихкод ]],1,FIND("-",Проливка[[#This Row],[Штрихкод ]],1)-1)," ")</f>
        <v xml:space="preserve"> </v>
      </c>
      <c r="X494" t="str">
        <f>IFERROR(RIGHT(Проливка[[#This Row],[Штрихкод ]],LEN(Проливка[[#This Row],[Штрихкод ]])-SEARCH("-",Проливка[[#This Row],[Штрихкод ]],1))," ")</f>
        <v xml:space="preserve"> </v>
      </c>
      <c r="Y494">
        <f>IFERROR(VLOOKUP(Проливка[[#This Row],[ID]]*1,'Срок хранения'!A494:B592,2,0),0)</f>
        <v>0</v>
      </c>
      <c r="Z494">
        <f>IFERROR(VLOOKUP(Проливка[[#This Row],[ID]]*1,'Срок хранения'!A494:C592,3,0),0)</f>
        <v>0</v>
      </c>
    </row>
    <row r="495" spans="1:26" x14ac:dyDescent="0.25">
      <c r="A495" s="9"/>
      <c r="B495" s="12" t="str">
        <f t="shared" si="29"/>
        <v xml:space="preserve"> </v>
      </c>
      <c r="C495" s="10" t="str">
        <f t="shared" si="28"/>
        <v xml:space="preserve"> </v>
      </c>
      <c r="D495" s="10">
        <f t="shared" si="30"/>
        <v>0</v>
      </c>
      <c r="E495" s="10">
        <f t="shared" si="31"/>
        <v>0</v>
      </c>
      <c r="W495" t="str">
        <f>IFERROR(MID(Проливка[[#This Row],[Штрихкод ]],1,FIND("-",Проливка[[#This Row],[Штрихкод ]],1)-1)," ")</f>
        <v xml:space="preserve"> </v>
      </c>
      <c r="X495" t="str">
        <f>IFERROR(RIGHT(Проливка[[#This Row],[Штрихкод ]],LEN(Проливка[[#This Row],[Штрихкод ]])-SEARCH("-",Проливка[[#This Row],[Штрихкод ]],1))," ")</f>
        <v xml:space="preserve"> </v>
      </c>
      <c r="Y495">
        <f>IFERROR(VLOOKUP(Проливка[[#This Row],[ID]]*1,'Срок хранения'!A495:B593,2,0),0)</f>
        <v>0</v>
      </c>
      <c r="Z495">
        <f>IFERROR(VLOOKUP(Проливка[[#This Row],[ID]]*1,'Срок хранения'!A495:C593,3,0),0)</f>
        <v>0</v>
      </c>
    </row>
    <row r="496" spans="1:26" x14ac:dyDescent="0.25">
      <c r="A496" s="9"/>
      <c r="B496" s="12" t="str">
        <f t="shared" si="29"/>
        <v xml:space="preserve"> </v>
      </c>
      <c r="C496" s="10" t="str">
        <f t="shared" si="28"/>
        <v xml:space="preserve"> </v>
      </c>
      <c r="D496" s="10">
        <f t="shared" si="30"/>
        <v>0</v>
      </c>
      <c r="E496" s="10">
        <f t="shared" si="31"/>
        <v>0</v>
      </c>
      <c r="W496" t="str">
        <f>IFERROR(MID(Проливка[[#This Row],[Штрихкод ]],1,FIND("-",Проливка[[#This Row],[Штрихкод ]],1)-1)," ")</f>
        <v xml:space="preserve"> </v>
      </c>
      <c r="X496" t="str">
        <f>IFERROR(RIGHT(Проливка[[#This Row],[Штрихкод ]],LEN(Проливка[[#This Row],[Штрихкод ]])-SEARCH("-",Проливка[[#This Row],[Штрихкод ]],1))," ")</f>
        <v xml:space="preserve"> </v>
      </c>
      <c r="Y496">
        <f>IFERROR(VLOOKUP(Проливка[[#This Row],[ID]]*1,'Срок хранения'!A496:B594,2,0),0)</f>
        <v>0</v>
      </c>
      <c r="Z496">
        <f>IFERROR(VLOOKUP(Проливка[[#This Row],[ID]]*1,'Срок хранения'!A496:C594,3,0),0)</f>
        <v>0</v>
      </c>
    </row>
    <row r="497" spans="1:26" x14ac:dyDescent="0.25">
      <c r="A497" s="9"/>
      <c r="B497" s="12" t="str">
        <f t="shared" si="29"/>
        <v xml:space="preserve"> </v>
      </c>
      <c r="C497" s="10" t="str">
        <f t="shared" si="28"/>
        <v xml:space="preserve"> </v>
      </c>
      <c r="D497" s="10">
        <f t="shared" si="30"/>
        <v>0</v>
      </c>
      <c r="E497" s="10">
        <f t="shared" si="31"/>
        <v>0</v>
      </c>
      <c r="W497" t="str">
        <f>IFERROR(MID(Проливка[[#This Row],[Штрихкод ]],1,FIND("-",Проливка[[#This Row],[Штрихкод ]],1)-1)," ")</f>
        <v xml:space="preserve"> </v>
      </c>
      <c r="X497" t="str">
        <f>IFERROR(RIGHT(Проливка[[#This Row],[Штрихкод ]],LEN(Проливка[[#This Row],[Штрихкод ]])-SEARCH("-",Проливка[[#This Row],[Штрихкод ]],1))," ")</f>
        <v xml:space="preserve"> </v>
      </c>
      <c r="Y497">
        <f>IFERROR(VLOOKUP(Проливка[[#This Row],[ID]]*1,'Срок хранения'!A497:B595,2,0),0)</f>
        <v>0</v>
      </c>
      <c r="Z497">
        <f>IFERROR(VLOOKUP(Проливка[[#This Row],[ID]]*1,'Срок хранения'!A497:C595,3,0),0)</f>
        <v>0</v>
      </c>
    </row>
    <row r="498" spans="1:26" x14ac:dyDescent="0.25">
      <c r="A498" s="9"/>
      <c r="B498" s="12" t="str">
        <f t="shared" si="29"/>
        <v xml:space="preserve"> </v>
      </c>
      <c r="C498" s="10" t="str">
        <f t="shared" si="28"/>
        <v xml:space="preserve"> </v>
      </c>
      <c r="D498" s="10">
        <f t="shared" si="30"/>
        <v>0</v>
      </c>
      <c r="E498" s="10">
        <f t="shared" si="31"/>
        <v>0</v>
      </c>
      <c r="W498" t="str">
        <f>IFERROR(MID(Проливка[[#This Row],[Штрихкод ]],1,FIND("-",Проливка[[#This Row],[Штрихкод ]],1)-1)," ")</f>
        <v xml:space="preserve"> </v>
      </c>
      <c r="X498" t="str">
        <f>IFERROR(RIGHT(Проливка[[#This Row],[Штрихкод ]],LEN(Проливка[[#This Row],[Штрихкод ]])-SEARCH("-",Проливка[[#This Row],[Штрихкод ]],1))," ")</f>
        <v xml:space="preserve"> </v>
      </c>
      <c r="Y498">
        <f>IFERROR(VLOOKUP(Проливка[[#This Row],[ID]]*1,'Срок хранения'!A498:B596,2,0),0)</f>
        <v>0</v>
      </c>
      <c r="Z498">
        <f>IFERROR(VLOOKUP(Проливка[[#This Row],[ID]]*1,'Срок хранения'!A498:C596,3,0),0)</f>
        <v>0</v>
      </c>
    </row>
    <row r="499" spans="1:26" x14ac:dyDescent="0.25">
      <c r="A499" s="9"/>
      <c r="B499" s="12" t="str">
        <f t="shared" si="29"/>
        <v xml:space="preserve"> </v>
      </c>
      <c r="C499" s="10" t="str">
        <f t="shared" si="28"/>
        <v xml:space="preserve"> </v>
      </c>
      <c r="D499" s="10">
        <f t="shared" si="30"/>
        <v>0</v>
      </c>
      <c r="E499" s="10">
        <f t="shared" si="31"/>
        <v>0</v>
      </c>
      <c r="W499" t="str">
        <f>IFERROR(MID(Проливка[[#This Row],[Штрихкод ]],1,FIND("-",Проливка[[#This Row],[Штрихкод ]],1)-1)," ")</f>
        <v xml:space="preserve"> </v>
      </c>
      <c r="X499" t="str">
        <f>IFERROR(RIGHT(Проливка[[#This Row],[Штрихкод ]],LEN(Проливка[[#This Row],[Штрихкод ]])-SEARCH("-",Проливка[[#This Row],[Штрихкод ]],1))," ")</f>
        <v xml:space="preserve"> </v>
      </c>
      <c r="Y499">
        <f>IFERROR(VLOOKUP(Проливка[[#This Row],[ID]]*1,'Срок хранения'!A499:B597,2,0),0)</f>
        <v>0</v>
      </c>
      <c r="Z499">
        <f>IFERROR(VLOOKUP(Проливка[[#This Row],[ID]]*1,'Срок хранения'!A499:C597,3,0),0)</f>
        <v>0</v>
      </c>
    </row>
    <row r="500" spans="1:26" x14ac:dyDescent="0.25">
      <c r="A500" s="9"/>
      <c r="B500" s="12" t="str">
        <f t="shared" si="29"/>
        <v xml:space="preserve"> </v>
      </c>
      <c r="C500" s="10" t="str">
        <f t="shared" si="28"/>
        <v xml:space="preserve"> </v>
      </c>
      <c r="D500" s="10">
        <f t="shared" si="30"/>
        <v>0</v>
      </c>
      <c r="E500" s="10">
        <f t="shared" si="31"/>
        <v>0</v>
      </c>
      <c r="W500" t="str">
        <f>IFERROR(MID(Проливка[[#This Row],[Штрихкод ]],1,FIND("-",Проливка[[#This Row],[Штрихкод ]],1)-1)," ")</f>
        <v xml:space="preserve"> </v>
      </c>
      <c r="X500" t="str">
        <f>IFERROR(RIGHT(Проливка[[#This Row],[Штрихкод ]],LEN(Проливка[[#This Row],[Штрихкод ]])-SEARCH("-",Проливка[[#This Row],[Штрихкод ]],1))," ")</f>
        <v xml:space="preserve"> </v>
      </c>
      <c r="Y500">
        <f>IFERROR(VLOOKUP(Проливка[[#This Row],[ID]]*1,'Срок хранения'!A500:B598,2,0),0)</f>
        <v>0</v>
      </c>
      <c r="Z500">
        <f>IFERROR(VLOOKUP(Проливка[[#This Row],[ID]]*1,'Срок хранения'!A500:C598,3,0),0)</f>
        <v>0</v>
      </c>
    </row>
    <row r="501" spans="1:26" x14ac:dyDescent="0.25">
      <c r="A501" s="9"/>
      <c r="B501" s="12" t="str">
        <f t="shared" si="29"/>
        <v xml:space="preserve"> </v>
      </c>
      <c r="C501" s="10" t="str">
        <f t="shared" si="28"/>
        <v xml:space="preserve"> </v>
      </c>
      <c r="D501" s="10">
        <f t="shared" si="30"/>
        <v>0</v>
      </c>
      <c r="E501" s="10">
        <f t="shared" si="31"/>
        <v>0</v>
      </c>
      <c r="W501" t="str">
        <f>IFERROR(MID(Проливка[[#This Row],[Штрихкод ]],1,FIND("-",Проливка[[#This Row],[Штрихкод ]],1)-1)," ")</f>
        <v xml:space="preserve"> </v>
      </c>
      <c r="X501" t="str">
        <f>IFERROR(RIGHT(Проливка[[#This Row],[Штрихкод ]],LEN(Проливка[[#This Row],[Штрихкод ]])-SEARCH("-",Проливка[[#This Row],[Штрихкод ]],1))," ")</f>
        <v xml:space="preserve"> </v>
      </c>
      <c r="Y501">
        <f>IFERROR(VLOOKUP(Проливка[[#This Row],[ID]]*1,'Срок хранения'!A501:B599,2,0),0)</f>
        <v>0</v>
      </c>
      <c r="Z501">
        <f>IFERROR(VLOOKUP(Проливка[[#This Row],[ID]]*1,'Срок хранения'!A501:C599,3,0),0)</f>
        <v>0</v>
      </c>
    </row>
    <row r="502" spans="1:26" x14ac:dyDescent="0.25">
      <c r="A502" s="9"/>
      <c r="B502" s="12" t="str">
        <f t="shared" si="29"/>
        <v xml:space="preserve"> </v>
      </c>
      <c r="C502" s="10" t="str">
        <f t="shared" si="28"/>
        <v xml:space="preserve"> </v>
      </c>
      <c r="D502" s="10">
        <f t="shared" si="30"/>
        <v>0</v>
      </c>
      <c r="E502" s="10">
        <f t="shared" si="31"/>
        <v>0</v>
      </c>
      <c r="W502" t="str">
        <f>IFERROR(MID(Проливка[[#This Row],[Штрихкод ]],1,FIND("-",Проливка[[#This Row],[Штрихкод ]],1)-1)," ")</f>
        <v xml:space="preserve"> </v>
      </c>
      <c r="X502" t="str">
        <f>IFERROR(RIGHT(Проливка[[#This Row],[Штрихкод ]],LEN(Проливка[[#This Row],[Штрихкод ]])-SEARCH("-",Проливка[[#This Row],[Штрихкод ]],1))," ")</f>
        <v xml:space="preserve"> </v>
      </c>
      <c r="Y502">
        <f>IFERROR(VLOOKUP(Проливка[[#This Row],[ID]]*1,'Срок хранения'!A502:B600,2,0),0)</f>
        <v>0</v>
      </c>
      <c r="Z502">
        <f>IFERROR(VLOOKUP(Проливка[[#This Row],[ID]]*1,'Срок хранения'!A502:C600,3,0),0)</f>
        <v>0</v>
      </c>
    </row>
    <row r="503" spans="1:26" x14ac:dyDescent="0.25">
      <c r="A503" s="9"/>
      <c r="B503" s="12" t="str">
        <f t="shared" si="29"/>
        <v xml:space="preserve"> </v>
      </c>
      <c r="C503" s="10" t="str">
        <f t="shared" si="28"/>
        <v xml:space="preserve"> </v>
      </c>
      <c r="D503" s="10">
        <f t="shared" si="30"/>
        <v>0</v>
      </c>
      <c r="E503" s="10">
        <f t="shared" si="31"/>
        <v>0</v>
      </c>
      <c r="W503" t="str">
        <f>IFERROR(MID(Проливка[[#This Row],[Штрихкод ]],1,FIND("-",Проливка[[#This Row],[Штрихкод ]],1)-1)," ")</f>
        <v xml:space="preserve"> </v>
      </c>
      <c r="X503" t="str">
        <f>IFERROR(RIGHT(Проливка[[#This Row],[Штрихкод ]],LEN(Проливка[[#This Row],[Штрихкод ]])-SEARCH("-",Проливка[[#This Row],[Штрихкод ]],1))," ")</f>
        <v xml:space="preserve"> </v>
      </c>
      <c r="Y503">
        <f>IFERROR(VLOOKUP(Проливка[[#This Row],[ID]]*1,'Срок хранения'!A503:B601,2,0),0)</f>
        <v>0</v>
      </c>
      <c r="Z503">
        <f>IFERROR(VLOOKUP(Проливка[[#This Row],[ID]]*1,'Срок хранения'!A503:C601,3,0),0)</f>
        <v>0</v>
      </c>
    </row>
    <row r="504" spans="1:26" x14ac:dyDescent="0.25">
      <c r="A504" s="9"/>
      <c r="B504" s="12" t="str">
        <f t="shared" si="29"/>
        <v xml:space="preserve"> </v>
      </c>
      <c r="C504" s="10" t="str">
        <f t="shared" si="28"/>
        <v xml:space="preserve"> </v>
      </c>
      <c r="D504" s="10">
        <f t="shared" si="30"/>
        <v>0</v>
      </c>
      <c r="E504" s="10">
        <f t="shared" si="31"/>
        <v>0</v>
      </c>
      <c r="W504" t="str">
        <f>IFERROR(MID(Проливка[[#This Row],[Штрихкод ]],1,FIND("-",Проливка[[#This Row],[Штрихкод ]],1)-1)," ")</f>
        <v xml:space="preserve"> </v>
      </c>
      <c r="X504" t="str">
        <f>IFERROR(RIGHT(Проливка[[#This Row],[Штрихкод ]],LEN(Проливка[[#This Row],[Штрихкод ]])-SEARCH("-",Проливка[[#This Row],[Штрихкод ]],1))," ")</f>
        <v xml:space="preserve"> </v>
      </c>
      <c r="Y504">
        <f>IFERROR(VLOOKUP(Проливка[[#This Row],[ID]]*1,'Срок хранения'!A504:B602,2,0),0)</f>
        <v>0</v>
      </c>
      <c r="Z504">
        <f>IFERROR(VLOOKUP(Проливка[[#This Row],[ID]]*1,'Срок хранения'!A504:C602,3,0),0)</f>
        <v>0</v>
      </c>
    </row>
    <row r="505" spans="1:26" x14ac:dyDescent="0.25">
      <c r="A505" s="9"/>
      <c r="B505" s="12" t="str">
        <f t="shared" si="29"/>
        <v xml:space="preserve"> </v>
      </c>
      <c r="C505" s="10" t="str">
        <f t="shared" si="28"/>
        <v xml:space="preserve"> </v>
      </c>
      <c r="D505" s="10">
        <f t="shared" si="30"/>
        <v>0</v>
      </c>
      <c r="E505" s="10">
        <f t="shared" si="31"/>
        <v>0</v>
      </c>
      <c r="W505" t="str">
        <f>IFERROR(MID(Проливка[[#This Row],[Штрихкод ]],1,FIND("-",Проливка[[#This Row],[Штрихкод ]],1)-1)," ")</f>
        <v xml:space="preserve"> </v>
      </c>
      <c r="X505" t="str">
        <f>IFERROR(RIGHT(Проливка[[#This Row],[Штрихкод ]],LEN(Проливка[[#This Row],[Штрихкод ]])-SEARCH("-",Проливка[[#This Row],[Штрихкод ]],1))," ")</f>
        <v xml:space="preserve"> </v>
      </c>
      <c r="Y505">
        <f>IFERROR(VLOOKUP(Проливка[[#This Row],[ID]]*1,'Срок хранения'!A505:B603,2,0),0)</f>
        <v>0</v>
      </c>
      <c r="Z505">
        <f>IFERROR(VLOOKUP(Проливка[[#This Row],[ID]]*1,'Срок хранения'!A505:C603,3,0),0)</f>
        <v>0</v>
      </c>
    </row>
    <row r="506" spans="1:26" x14ac:dyDescent="0.25">
      <c r="A506" s="9"/>
      <c r="B506" s="12" t="str">
        <f t="shared" si="29"/>
        <v xml:space="preserve"> </v>
      </c>
      <c r="C506" s="10" t="str">
        <f t="shared" si="28"/>
        <v xml:space="preserve"> </v>
      </c>
      <c r="D506" s="10">
        <f t="shared" si="30"/>
        <v>0</v>
      </c>
      <c r="E506" s="10">
        <f t="shared" si="31"/>
        <v>0</v>
      </c>
      <c r="W506" t="str">
        <f>IFERROR(MID(Проливка[[#This Row],[Штрихкод ]],1,FIND("-",Проливка[[#This Row],[Штрихкод ]],1)-1)," ")</f>
        <v xml:space="preserve"> </v>
      </c>
      <c r="X506" t="str">
        <f>IFERROR(RIGHT(Проливка[[#This Row],[Штрихкод ]],LEN(Проливка[[#This Row],[Штрихкод ]])-SEARCH("-",Проливка[[#This Row],[Штрихкод ]],1))," ")</f>
        <v xml:space="preserve"> </v>
      </c>
      <c r="Y506">
        <f>IFERROR(VLOOKUP(Проливка[[#This Row],[ID]]*1,'Срок хранения'!A506:B604,2,0),0)</f>
        <v>0</v>
      </c>
      <c r="Z506">
        <f>IFERROR(VLOOKUP(Проливка[[#This Row],[ID]]*1,'Срок хранения'!A506:C604,3,0),0)</f>
        <v>0</v>
      </c>
    </row>
    <row r="507" spans="1:26" x14ac:dyDescent="0.25">
      <c r="A507" s="9"/>
      <c r="B507" s="12" t="str">
        <f t="shared" si="29"/>
        <v xml:space="preserve"> </v>
      </c>
      <c r="C507" s="10" t="str">
        <f t="shared" si="28"/>
        <v xml:space="preserve"> </v>
      </c>
      <c r="D507" s="10">
        <f t="shared" si="30"/>
        <v>0</v>
      </c>
      <c r="E507" s="10">
        <f t="shared" si="31"/>
        <v>0</v>
      </c>
      <c r="W507" t="str">
        <f>IFERROR(MID(Проливка[[#This Row],[Штрихкод ]],1,FIND("-",Проливка[[#This Row],[Штрихкод ]],1)-1)," ")</f>
        <v xml:space="preserve"> </v>
      </c>
      <c r="X507" t="str">
        <f>IFERROR(RIGHT(Проливка[[#This Row],[Штрихкод ]],LEN(Проливка[[#This Row],[Штрихкод ]])-SEARCH("-",Проливка[[#This Row],[Штрихкод ]],1))," ")</f>
        <v xml:space="preserve"> </v>
      </c>
      <c r="Y507">
        <f>IFERROR(VLOOKUP(Проливка[[#This Row],[ID]]*1,'Срок хранения'!A507:B605,2,0),0)</f>
        <v>0</v>
      </c>
      <c r="Z507">
        <f>IFERROR(VLOOKUP(Проливка[[#This Row],[ID]]*1,'Срок хранения'!A507:C605,3,0),0)</f>
        <v>0</v>
      </c>
    </row>
    <row r="508" spans="1:26" x14ac:dyDescent="0.25">
      <c r="A508" s="9"/>
      <c r="B508" s="12" t="str">
        <f t="shared" si="29"/>
        <v xml:space="preserve"> </v>
      </c>
      <c r="C508" s="10" t="str">
        <f t="shared" si="28"/>
        <v xml:space="preserve"> </v>
      </c>
      <c r="D508" s="10">
        <f t="shared" si="30"/>
        <v>0</v>
      </c>
      <c r="E508" s="10">
        <f t="shared" si="31"/>
        <v>0</v>
      </c>
      <c r="W508" t="str">
        <f>IFERROR(MID(Проливка[[#This Row],[Штрихкод ]],1,FIND("-",Проливка[[#This Row],[Штрихкод ]],1)-1)," ")</f>
        <v xml:space="preserve"> </v>
      </c>
      <c r="X508" t="str">
        <f>IFERROR(RIGHT(Проливка[[#This Row],[Штрихкод ]],LEN(Проливка[[#This Row],[Штрихкод ]])-SEARCH("-",Проливка[[#This Row],[Штрихкод ]],1))," ")</f>
        <v xml:space="preserve"> </v>
      </c>
      <c r="Y508">
        <f>IFERROR(VLOOKUP(Проливка[[#This Row],[ID]]*1,'Срок хранения'!A508:B606,2,0),0)</f>
        <v>0</v>
      </c>
      <c r="Z508">
        <f>IFERROR(VLOOKUP(Проливка[[#This Row],[ID]]*1,'Срок хранения'!A508:C606,3,0),0)</f>
        <v>0</v>
      </c>
    </row>
    <row r="509" spans="1:26" x14ac:dyDescent="0.25">
      <c r="A509" s="9"/>
      <c r="B509" s="12" t="str">
        <f t="shared" si="29"/>
        <v xml:space="preserve"> </v>
      </c>
      <c r="C509" s="10" t="str">
        <f t="shared" si="28"/>
        <v xml:space="preserve"> </v>
      </c>
      <c r="D509" s="10">
        <f t="shared" si="30"/>
        <v>0</v>
      </c>
      <c r="E509" s="10">
        <f t="shared" si="31"/>
        <v>0</v>
      </c>
      <c r="W509" t="str">
        <f>IFERROR(MID(Проливка[[#This Row],[Штрихкод ]],1,FIND("-",Проливка[[#This Row],[Штрихкод ]],1)-1)," ")</f>
        <v xml:space="preserve"> </v>
      </c>
      <c r="X509" t="str">
        <f>IFERROR(RIGHT(Проливка[[#This Row],[Штрихкод ]],LEN(Проливка[[#This Row],[Штрихкод ]])-SEARCH("-",Проливка[[#This Row],[Штрихкод ]],1))," ")</f>
        <v xml:space="preserve"> </v>
      </c>
      <c r="Y509">
        <f>IFERROR(VLOOKUP(Проливка[[#This Row],[ID]]*1,'Срок хранения'!A509:B607,2,0),0)</f>
        <v>0</v>
      </c>
      <c r="Z509">
        <f>IFERROR(VLOOKUP(Проливка[[#This Row],[ID]]*1,'Срок хранения'!A509:C607,3,0),0)</f>
        <v>0</v>
      </c>
    </row>
    <row r="510" spans="1:26" x14ac:dyDescent="0.25">
      <c r="A510" s="9"/>
      <c r="B510" s="12" t="str">
        <f t="shared" si="29"/>
        <v xml:space="preserve"> </v>
      </c>
      <c r="C510" s="10" t="str">
        <f t="shared" si="28"/>
        <v xml:space="preserve"> </v>
      </c>
      <c r="D510" s="10">
        <f t="shared" si="30"/>
        <v>0</v>
      </c>
      <c r="E510" s="10">
        <f t="shared" si="31"/>
        <v>0</v>
      </c>
      <c r="W510" t="str">
        <f>IFERROR(MID(Проливка[[#This Row],[Штрихкод ]],1,FIND("-",Проливка[[#This Row],[Штрихкод ]],1)-1)," ")</f>
        <v xml:space="preserve"> </v>
      </c>
      <c r="X510" t="str">
        <f>IFERROR(RIGHT(Проливка[[#This Row],[Штрихкод ]],LEN(Проливка[[#This Row],[Штрихкод ]])-SEARCH("-",Проливка[[#This Row],[Штрихкод ]],1))," ")</f>
        <v xml:space="preserve"> </v>
      </c>
      <c r="Y510">
        <f>IFERROR(VLOOKUP(Проливка[[#This Row],[ID]]*1,'Срок хранения'!A510:B608,2,0),0)</f>
        <v>0</v>
      </c>
      <c r="Z510">
        <f>IFERROR(VLOOKUP(Проливка[[#This Row],[ID]]*1,'Срок хранения'!A510:C608,3,0),0)</f>
        <v>0</v>
      </c>
    </row>
    <row r="511" spans="1:26" x14ac:dyDescent="0.25">
      <c r="A511" s="9"/>
      <c r="B511" s="12" t="str">
        <f t="shared" si="29"/>
        <v xml:space="preserve"> </v>
      </c>
      <c r="C511" s="10" t="str">
        <f t="shared" si="28"/>
        <v xml:space="preserve"> </v>
      </c>
      <c r="D511" s="10">
        <f t="shared" si="30"/>
        <v>0</v>
      </c>
      <c r="E511" s="10">
        <f t="shared" si="31"/>
        <v>0</v>
      </c>
      <c r="W511" t="str">
        <f>IFERROR(MID(Проливка[[#This Row],[Штрихкод ]],1,FIND("-",Проливка[[#This Row],[Штрихкод ]],1)-1)," ")</f>
        <v xml:space="preserve"> </v>
      </c>
      <c r="X511" t="str">
        <f>IFERROR(RIGHT(Проливка[[#This Row],[Штрихкод ]],LEN(Проливка[[#This Row],[Штрихкод ]])-SEARCH("-",Проливка[[#This Row],[Штрихкод ]],1))," ")</f>
        <v xml:space="preserve"> </v>
      </c>
      <c r="Y511">
        <f>IFERROR(VLOOKUP(Проливка[[#This Row],[ID]]*1,'Срок хранения'!A511:B609,2,0),0)</f>
        <v>0</v>
      </c>
      <c r="Z511">
        <f>IFERROR(VLOOKUP(Проливка[[#This Row],[ID]]*1,'Срок хранения'!A511:C609,3,0),0)</f>
        <v>0</v>
      </c>
    </row>
    <row r="512" spans="1:26" x14ac:dyDescent="0.25">
      <c r="A512" s="9"/>
      <c r="B512" s="12" t="str">
        <f t="shared" si="29"/>
        <v xml:space="preserve"> </v>
      </c>
      <c r="C512" s="10" t="str">
        <f t="shared" si="28"/>
        <v xml:space="preserve"> </v>
      </c>
      <c r="D512" s="10">
        <f t="shared" si="30"/>
        <v>0</v>
      </c>
      <c r="E512" s="10">
        <f t="shared" si="31"/>
        <v>0</v>
      </c>
      <c r="W512" t="str">
        <f>IFERROR(MID(Проливка[[#This Row],[Штрихкод ]],1,FIND("-",Проливка[[#This Row],[Штрихкод ]],1)-1)," ")</f>
        <v xml:space="preserve"> </v>
      </c>
      <c r="X512" t="str">
        <f>IFERROR(RIGHT(Проливка[[#This Row],[Штрихкод ]],LEN(Проливка[[#This Row],[Штрихкод ]])-SEARCH("-",Проливка[[#This Row],[Штрихкод ]],1))," ")</f>
        <v xml:space="preserve"> </v>
      </c>
      <c r="Y512">
        <f>IFERROR(VLOOKUP(Проливка[[#This Row],[ID]]*1,'Срок хранения'!A512:B610,2,0),0)</f>
        <v>0</v>
      </c>
      <c r="Z512">
        <f>IFERROR(VLOOKUP(Проливка[[#This Row],[ID]]*1,'Срок хранения'!A512:C610,3,0),0)</f>
        <v>0</v>
      </c>
    </row>
    <row r="513" spans="1:26" x14ac:dyDescent="0.25">
      <c r="A513" s="9"/>
      <c r="B513" s="12" t="str">
        <f t="shared" si="29"/>
        <v xml:space="preserve"> </v>
      </c>
      <c r="C513" s="10" t="str">
        <f t="shared" si="28"/>
        <v xml:space="preserve"> </v>
      </c>
      <c r="D513" s="10">
        <f t="shared" si="30"/>
        <v>0</v>
      </c>
      <c r="E513" s="10">
        <f t="shared" si="31"/>
        <v>0</v>
      </c>
      <c r="W513" t="str">
        <f>IFERROR(MID(Проливка[[#This Row],[Штрихкод ]],1,FIND("-",Проливка[[#This Row],[Штрихкод ]],1)-1)," ")</f>
        <v xml:space="preserve"> </v>
      </c>
      <c r="X513" t="str">
        <f>IFERROR(RIGHT(Проливка[[#This Row],[Штрихкод ]],LEN(Проливка[[#This Row],[Штрихкод ]])-SEARCH("-",Проливка[[#This Row],[Штрихкод ]],1))," ")</f>
        <v xml:space="preserve"> </v>
      </c>
      <c r="Y513">
        <f>IFERROR(VLOOKUP(Проливка[[#This Row],[ID]]*1,'Срок хранения'!A513:B611,2,0),0)</f>
        <v>0</v>
      </c>
      <c r="Z513">
        <f>IFERROR(VLOOKUP(Проливка[[#This Row],[ID]]*1,'Срок хранения'!A513:C611,3,0),0)</f>
        <v>0</v>
      </c>
    </row>
    <row r="514" spans="1:26" x14ac:dyDescent="0.25">
      <c r="A514" s="9"/>
      <c r="B514" s="12" t="str">
        <f t="shared" si="29"/>
        <v xml:space="preserve"> </v>
      </c>
      <c r="C514" s="10" t="str">
        <f t="shared" ref="C514:C577" si="32">X514</f>
        <v xml:space="preserve"> </v>
      </c>
      <c r="D514" s="10">
        <f t="shared" si="30"/>
        <v>0</v>
      </c>
      <c r="E514" s="10">
        <f t="shared" si="31"/>
        <v>0</v>
      </c>
      <c r="W514" t="str">
        <f>IFERROR(MID(Проливка[[#This Row],[Штрихкод ]],1,FIND("-",Проливка[[#This Row],[Штрихкод ]],1)-1)," ")</f>
        <v xml:space="preserve"> </v>
      </c>
      <c r="X514" t="str">
        <f>IFERROR(RIGHT(Проливка[[#This Row],[Штрихкод ]],LEN(Проливка[[#This Row],[Штрихкод ]])-SEARCH("-",Проливка[[#This Row],[Штрихкод ]],1))," ")</f>
        <v xml:space="preserve"> </v>
      </c>
      <c r="Y514">
        <f>IFERROR(VLOOKUP(Проливка[[#This Row],[ID]]*1,'Срок хранения'!A514:B612,2,0),0)</f>
        <v>0</v>
      </c>
      <c r="Z514">
        <f>IFERROR(VLOOKUP(Проливка[[#This Row],[ID]]*1,'Срок хранения'!A514:C612,3,0),0)</f>
        <v>0</v>
      </c>
    </row>
    <row r="515" spans="1:26" x14ac:dyDescent="0.25">
      <c r="A515" s="9"/>
      <c r="B515" s="12" t="str">
        <f t="shared" ref="B515:B578" si="33">W515</f>
        <v xml:space="preserve"> </v>
      </c>
      <c r="C515" s="10" t="str">
        <f t="shared" si="32"/>
        <v xml:space="preserve"> </v>
      </c>
      <c r="D515" s="10">
        <f t="shared" ref="D515:D578" si="34">Y515</f>
        <v>0</v>
      </c>
      <c r="E515" s="10">
        <f t="shared" ref="E515:E578" si="35">Z515</f>
        <v>0</v>
      </c>
      <c r="W515" t="str">
        <f>IFERROR(MID(Проливка[[#This Row],[Штрихкод ]],1,FIND("-",Проливка[[#This Row],[Штрихкод ]],1)-1)," ")</f>
        <v xml:space="preserve"> </v>
      </c>
      <c r="X515" t="str">
        <f>IFERROR(RIGHT(Проливка[[#This Row],[Штрихкод ]],LEN(Проливка[[#This Row],[Штрихкод ]])-SEARCH("-",Проливка[[#This Row],[Штрихкод ]],1))," ")</f>
        <v xml:space="preserve"> </v>
      </c>
      <c r="Y515">
        <f>IFERROR(VLOOKUP(Проливка[[#This Row],[ID]]*1,'Срок хранения'!A515:B613,2,0),0)</f>
        <v>0</v>
      </c>
      <c r="Z515">
        <f>IFERROR(VLOOKUP(Проливка[[#This Row],[ID]]*1,'Срок хранения'!A515:C613,3,0),0)</f>
        <v>0</v>
      </c>
    </row>
    <row r="516" spans="1:26" x14ac:dyDescent="0.25">
      <c r="A516" s="9"/>
      <c r="B516" s="12" t="str">
        <f t="shared" si="33"/>
        <v xml:space="preserve"> </v>
      </c>
      <c r="C516" s="10" t="str">
        <f t="shared" si="32"/>
        <v xml:space="preserve"> </v>
      </c>
      <c r="D516" s="10">
        <f t="shared" si="34"/>
        <v>0</v>
      </c>
      <c r="E516" s="10">
        <f t="shared" si="35"/>
        <v>0</v>
      </c>
      <c r="W516" t="str">
        <f>IFERROR(MID(Проливка[[#This Row],[Штрихкод ]],1,FIND("-",Проливка[[#This Row],[Штрихкод ]],1)-1)," ")</f>
        <v xml:space="preserve"> </v>
      </c>
      <c r="X516" t="str">
        <f>IFERROR(RIGHT(Проливка[[#This Row],[Штрихкод ]],LEN(Проливка[[#This Row],[Штрихкод ]])-SEARCH("-",Проливка[[#This Row],[Штрихкод ]],1))," ")</f>
        <v xml:space="preserve"> </v>
      </c>
      <c r="Y516">
        <f>IFERROR(VLOOKUP(Проливка[[#This Row],[ID]]*1,'Срок хранения'!A516:B614,2,0),0)</f>
        <v>0</v>
      </c>
      <c r="Z516">
        <f>IFERROR(VLOOKUP(Проливка[[#This Row],[ID]]*1,'Срок хранения'!A516:C614,3,0),0)</f>
        <v>0</v>
      </c>
    </row>
    <row r="517" spans="1:26" x14ac:dyDescent="0.25">
      <c r="A517" s="9"/>
      <c r="B517" s="12" t="str">
        <f t="shared" si="33"/>
        <v xml:space="preserve"> </v>
      </c>
      <c r="C517" s="10" t="str">
        <f t="shared" si="32"/>
        <v xml:space="preserve"> </v>
      </c>
      <c r="D517" s="10">
        <f t="shared" si="34"/>
        <v>0</v>
      </c>
      <c r="E517" s="10">
        <f t="shared" si="35"/>
        <v>0</v>
      </c>
      <c r="W517" t="str">
        <f>IFERROR(MID(Проливка[[#This Row],[Штрихкод ]],1,FIND("-",Проливка[[#This Row],[Штрихкод ]],1)-1)," ")</f>
        <v xml:space="preserve"> </v>
      </c>
      <c r="X517" t="str">
        <f>IFERROR(RIGHT(Проливка[[#This Row],[Штрихкод ]],LEN(Проливка[[#This Row],[Штрихкод ]])-SEARCH("-",Проливка[[#This Row],[Штрихкод ]],1))," ")</f>
        <v xml:space="preserve"> </v>
      </c>
      <c r="Y517">
        <f>IFERROR(VLOOKUP(Проливка[[#This Row],[ID]]*1,'Срок хранения'!A517:B615,2,0),0)</f>
        <v>0</v>
      </c>
      <c r="Z517">
        <f>IFERROR(VLOOKUP(Проливка[[#This Row],[ID]]*1,'Срок хранения'!A517:C615,3,0),0)</f>
        <v>0</v>
      </c>
    </row>
    <row r="518" spans="1:26" x14ac:dyDescent="0.25">
      <c r="A518" s="9"/>
      <c r="B518" s="12" t="str">
        <f t="shared" si="33"/>
        <v xml:space="preserve"> </v>
      </c>
      <c r="C518" s="10" t="str">
        <f t="shared" si="32"/>
        <v xml:space="preserve"> </v>
      </c>
      <c r="D518" s="10">
        <f t="shared" si="34"/>
        <v>0</v>
      </c>
      <c r="E518" s="10">
        <f t="shared" si="35"/>
        <v>0</v>
      </c>
      <c r="W518" t="str">
        <f>IFERROR(MID(Проливка[[#This Row],[Штрихкод ]],1,FIND("-",Проливка[[#This Row],[Штрихкод ]],1)-1)," ")</f>
        <v xml:space="preserve"> </v>
      </c>
      <c r="X518" t="str">
        <f>IFERROR(RIGHT(Проливка[[#This Row],[Штрихкод ]],LEN(Проливка[[#This Row],[Штрихкод ]])-SEARCH("-",Проливка[[#This Row],[Штрихкод ]],1))," ")</f>
        <v xml:space="preserve"> </v>
      </c>
      <c r="Y518">
        <f>IFERROR(VLOOKUP(Проливка[[#This Row],[ID]]*1,'Срок хранения'!A518:B616,2,0),0)</f>
        <v>0</v>
      </c>
      <c r="Z518">
        <f>IFERROR(VLOOKUP(Проливка[[#This Row],[ID]]*1,'Срок хранения'!A518:C616,3,0),0)</f>
        <v>0</v>
      </c>
    </row>
    <row r="519" spans="1:26" x14ac:dyDescent="0.25">
      <c r="A519" s="9"/>
      <c r="B519" s="12" t="str">
        <f t="shared" si="33"/>
        <v xml:space="preserve"> </v>
      </c>
      <c r="C519" s="10" t="str">
        <f t="shared" si="32"/>
        <v xml:space="preserve"> </v>
      </c>
      <c r="D519" s="10">
        <f t="shared" si="34"/>
        <v>0</v>
      </c>
      <c r="E519" s="10">
        <f t="shared" si="35"/>
        <v>0</v>
      </c>
      <c r="W519" t="str">
        <f>IFERROR(MID(Проливка[[#This Row],[Штрихкод ]],1,FIND("-",Проливка[[#This Row],[Штрихкод ]],1)-1)," ")</f>
        <v xml:space="preserve"> </v>
      </c>
      <c r="X519" t="str">
        <f>IFERROR(RIGHT(Проливка[[#This Row],[Штрихкод ]],LEN(Проливка[[#This Row],[Штрихкод ]])-SEARCH("-",Проливка[[#This Row],[Штрихкод ]],1))," ")</f>
        <v xml:space="preserve"> </v>
      </c>
      <c r="Y519">
        <f>IFERROR(VLOOKUP(Проливка[[#This Row],[ID]]*1,'Срок хранения'!A519:B617,2,0),0)</f>
        <v>0</v>
      </c>
      <c r="Z519">
        <f>IFERROR(VLOOKUP(Проливка[[#This Row],[ID]]*1,'Срок хранения'!A519:C617,3,0),0)</f>
        <v>0</v>
      </c>
    </row>
    <row r="520" spans="1:26" x14ac:dyDescent="0.25">
      <c r="A520" s="9"/>
      <c r="B520" s="12" t="str">
        <f t="shared" si="33"/>
        <v xml:space="preserve"> </v>
      </c>
      <c r="C520" s="10" t="str">
        <f t="shared" si="32"/>
        <v xml:space="preserve"> </v>
      </c>
      <c r="D520" s="10">
        <f t="shared" si="34"/>
        <v>0</v>
      </c>
      <c r="E520" s="10">
        <f t="shared" si="35"/>
        <v>0</v>
      </c>
      <c r="W520" t="str">
        <f>IFERROR(MID(Проливка[[#This Row],[Штрихкод ]],1,FIND("-",Проливка[[#This Row],[Штрихкод ]],1)-1)," ")</f>
        <v xml:space="preserve"> </v>
      </c>
      <c r="X520" t="str">
        <f>IFERROR(RIGHT(Проливка[[#This Row],[Штрихкод ]],LEN(Проливка[[#This Row],[Штрихкод ]])-SEARCH("-",Проливка[[#This Row],[Штрихкод ]],1))," ")</f>
        <v xml:space="preserve"> </v>
      </c>
      <c r="Y520">
        <f>IFERROR(VLOOKUP(Проливка[[#This Row],[ID]]*1,'Срок хранения'!A520:B618,2,0),0)</f>
        <v>0</v>
      </c>
      <c r="Z520">
        <f>IFERROR(VLOOKUP(Проливка[[#This Row],[ID]]*1,'Срок хранения'!A520:C618,3,0),0)</f>
        <v>0</v>
      </c>
    </row>
    <row r="521" spans="1:26" x14ac:dyDescent="0.25">
      <c r="A521" s="9"/>
      <c r="B521" s="12" t="str">
        <f t="shared" si="33"/>
        <v xml:space="preserve"> </v>
      </c>
      <c r="C521" s="10" t="str">
        <f t="shared" si="32"/>
        <v xml:space="preserve"> </v>
      </c>
      <c r="D521" s="10">
        <f t="shared" si="34"/>
        <v>0</v>
      </c>
      <c r="E521" s="10">
        <f t="shared" si="35"/>
        <v>0</v>
      </c>
      <c r="W521" t="str">
        <f>IFERROR(MID(Проливка[[#This Row],[Штрихкод ]],1,FIND("-",Проливка[[#This Row],[Штрихкод ]],1)-1)," ")</f>
        <v xml:space="preserve"> </v>
      </c>
      <c r="X521" t="str">
        <f>IFERROR(RIGHT(Проливка[[#This Row],[Штрихкод ]],LEN(Проливка[[#This Row],[Штрихкод ]])-SEARCH("-",Проливка[[#This Row],[Штрихкод ]],1))," ")</f>
        <v xml:space="preserve"> </v>
      </c>
      <c r="Y521">
        <f>IFERROR(VLOOKUP(Проливка[[#This Row],[ID]]*1,'Срок хранения'!A521:B619,2,0),0)</f>
        <v>0</v>
      </c>
      <c r="Z521">
        <f>IFERROR(VLOOKUP(Проливка[[#This Row],[ID]]*1,'Срок хранения'!A521:C619,3,0),0)</f>
        <v>0</v>
      </c>
    </row>
    <row r="522" spans="1:26" x14ac:dyDescent="0.25">
      <c r="A522" s="9"/>
      <c r="B522" s="12" t="str">
        <f t="shared" si="33"/>
        <v xml:space="preserve"> </v>
      </c>
      <c r="C522" s="10" t="str">
        <f t="shared" si="32"/>
        <v xml:space="preserve"> </v>
      </c>
      <c r="D522" s="10">
        <f t="shared" si="34"/>
        <v>0</v>
      </c>
      <c r="E522" s="10">
        <f t="shared" si="35"/>
        <v>0</v>
      </c>
      <c r="W522" t="str">
        <f>IFERROR(MID(Проливка[[#This Row],[Штрихкод ]],1,FIND("-",Проливка[[#This Row],[Штрихкод ]],1)-1)," ")</f>
        <v xml:space="preserve"> </v>
      </c>
      <c r="X522" t="str">
        <f>IFERROR(RIGHT(Проливка[[#This Row],[Штрихкод ]],LEN(Проливка[[#This Row],[Штрихкод ]])-SEARCH("-",Проливка[[#This Row],[Штрихкод ]],1))," ")</f>
        <v xml:space="preserve"> </v>
      </c>
      <c r="Y522">
        <f>IFERROR(VLOOKUP(Проливка[[#This Row],[ID]]*1,'Срок хранения'!A522:B620,2,0),0)</f>
        <v>0</v>
      </c>
      <c r="Z522">
        <f>IFERROR(VLOOKUP(Проливка[[#This Row],[ID]]*1,'Срок хранения'!A522:C620,3,0),0)</f>
        <v>0</v>
      </c>
    </row>
    <row r="523" spans="1:26" x14ac:dyDescent="0.25">
      <c r="A523" s="9"/>
      <c r="B523" s="12" t="str">
        <f t="shared" si="33"/>
        <v xml:space="preserve"> </v>
      </c>
      <c r="C523" s="10" t="str">
        <f t="shared" si="32"/>
        <v xml:space="preserve"> </v>
      </c>
      <c r="D523" s="10">
        <f t="shared" si="34"/>
        <v>0</v>
      </c>
      <c r="E523" s="10">
        <f t="shared" si="35"/>
        <v>0</v>
      </c>
      <c r="W523" t="str">
        <f>IFERROR(MID(Проливка[[#This Row],[Штрихкод ]],1,FIND("-",Проливка[[#This Row],[Штрихкод ]],1)-1)," ")</f>
        <v xml:space="preserve"> </v>
      </c>
      <c r="X523" t="str">
        <f>IFERROR(RIGHT(Проливка[[#This Row],[Штрихкод ]],LEN(Проливка[[#This Row],[Штрихкод ]])-SEARCH("-",Проливка[[#This Row],[Штрихкод ]],1))," ")</f>
        <v xml:space="preserve"> </v>
      </c>
      <c r="Y523">
        <f>IFERROR(VLOOKUP(Проливка[[#This Row],[ID]]*1,'Срок хранения'!A523:B621,2,0),0)</f>
        <v>0</v>
      </c>
      <c r="Z523">
        <f>IFERROR(VLOOKUP(Проливка[[#This Row],[ID]]*1,'Срок хранения'!A523:C621,3,0),0)</f>
        <v>0</v>
      </c>
    </row>
    <row r="524" spans="1:26" x14ac:dyDescent="0.25">
      <c r="A524" s="9"/>
      <c r="B524" s="12" t="str">
        <f t="shared" si="33"/>
        <v xml:space="preserve"> </v>
      </c>
      <c r="C524" s="10" t="str">
        <f t="shared" si="32"/>
        <v xml:space="preserve"> </v>
      </c>
      <c r="D524" s="10">
        <f t="shared" si="34"/>
        <v>0</v>
      </c>
      <c r="E524" s="10">
        <f t="shared" si="35"/>
        <v>0</v>
      </c>
      <c r="W524" t="str">
        <f>IFERROR(MID(Проливка[[#This Row],[Штрихкод ]],1,FIND("-",Проливка[[#This Row],[Штрихкод ]],1)-1)," ")</f>
        <v xml:space="preserve"> </v>
      </c>
      <c r="X524" t="str">
        <f>IFERROR(RIGHT(Проливка[[#This Row],[Штрихкод ]],LEN(Проливка[[#This Row],[Штрихкод ]])-SEARCH("-",Проливка[[#This Row],[Штрихкод ]],1))," ")</f>
        <v xml:space="preserve"> </v>
      </c>
      <c r="Y524">
        <f>IFERROR(VLOOKUP(Проливка[[#This Row],[ID]]*1,'Срок хранения'!A524:B622,2,0),0)</f>
        <v>0</v>
      </c>
      <c r="Z524">
        <f>IFERROR(VLOOKUP(Проливка[[#This Row],[ID]]*1,'Срок хранения'!A524:C622,3,0),0)</f>
        <v>0</v>
      </c>
    </row>
    <row r="525" spans="1:26" x14ac:dyDescent="0.25">
      <c r="A525" s="9"/>
      <c r="B525" s="12" t="str">
        <f t="shared" si="33"/>
        <v xml:space="preserve"> </v>
      </c>
      <c r="C525" s="10" t="str">
        <f t="shared" si="32"/>
        <v xml:space="preserve"> </v>
      </c>
      <c r="D525" s="10">
        <f t="shared" si="34"/>
        <v>0</v>
      </c>
      <c r="E525" s="10">
        <f t="shared" si="35"/>
        <v>0</v>
      </c>
      <c r="W525" t="str">
        <f>IFERROR(MID(Проливка[[#This Row],[Штрихкод ]],1,FIND("-",Проливка[[#This Row],[Штрихкод ]],1)-1)," ")</f>
        <v xml:space="preserve"> </v>
      </c>
      <c r="X525" t="str">
        <f>IFERROR(RIGHT(Проливка[[#This Row],[Штрихкод ]],LEN(Проливка[[#This Row],[Штрихкод ]])-SEARCH("-",Проливка[[#This Row],[Штрихкод ]],1))," ")</f>
        <v xml:space="preserve"> </v>
      </c>
      <c r="Y525">
        <f>IFERROR(VLOOKUP(Проливка[[#This Row],[ID]]*1,'Срок хранения'!A525:B623,2,0),0)</f>
        <v>0</v>
      </c>
      <c r="Z525">
        <f>IFERROR(VLOOKUP(Проливка[[#This Row],[ID]]*1,'Срок хранения'!A525:C623,3,0),0)</f>
        <v>0</v>
      </c>
    </row>
    <row r="526" spans="1:26" x14ac:dyDescent="0.25">
      <c r="A526" s="9"/>
      <c r="B526" s="12" t="str">
        <f t="shared" si="33"/>
        <v xml:space="preserve"> </v>
      </c>
      <c r="C526" s="10" t="str">
        <f t="shared" si="32"/>
        <v xml:space="preserve"> </v>
      </c>
      <c r="D526" s="10">
        <f t="shared" si="34"/>
        <v>0</v>
      </c>
      <c r="E526" s="10">
        <f t="shared" si="35"/>
        <v>0</v>
      </c>
      <c r="W526" t="str">
        <f>IFERROR(MID(Проливка[[#This Row],[Штрихкод ]],1,FIND("-",Проливка[[#This Row],[Штрихкод ]],1)-1)," ")</f>
        <v xml:space="preserve"> </v>
      </c>
      <c r="X526" t="str">
        <f>IFERROR(RIGHT(Проливка[[#This Row],[Штрихкод ]],LEN(Проливка[[#This Row],[Штрихкод ]])-SEARCH("-",Проливка[[#This Row],[Штрихкод ]],1))," ")</f>
        <v xml:space="preserve"> </v>
      </c>
      <c r="Y526">
        <f>IFERROR(VLOOKUP(Проливка[[#This Row],[ID]]*1,'Срок хранения'!A526:B624,2,0),0)</f>
        <v>0</v>
      </c>
      <c r="Z526">
        <f>IFERROR(VLOOKUP(Проливка[[#This Row],[ID]]*1,'Срок хранения'!A526:C624,3,0),0)</f>
        <v>0</v>
      </c>
    </row>
    <row r="527" spans="1:26" x14ac:dyDescent="0.25">
      <c r="A527" s="9"/>
      <c r="B527" s="12" t="str">
        <f t="shared" si="33"/>
        <v xml:space="preserve"> </v>
      </c>
      <c r="C527" s="10" t="str">
        <f t="shared" si="32"/>
        <v xml:space="preserve"> </v>
      </c>
      <c r="D527" s="10">
        <f t="shared" si="34"/>
        <v>0</v>
      </c>
      <c r="E527" s="10">
        <f t="shared" si="35"/>
        <v>0</v>
      </c>
      <c r="W527" t="str">
        <f>IFERROR(MID(Проливка[[#This Row],[Штрихкод ]],1,FIND("-",Проливка[[#This Row],[Штрихкод ]],1)-1)," ")</f>
        <v xml:space="preserve"> </v>
      </c>
      <c r="X527" t="str">
        <f>IFERROR(RIGHT(Проливка[[#This Row],[Штрихкод ]],LEN(Проливка[[#This Row],[Штрихкод ]])-SEARCH("-",Проливка[[#This Row],[Штрихкод ]],1))," ")</f>
        <v xml:space="preserve"> </v>
      </c>
      <c r="Y527">
        <f>IFERROR(VLOOKUP(Проливка[[#This Row],[ID]]*1,'Срок хранения'!A527:B625,2,0),0)</f>
        <v>0</v>
      </c>
      <c r="Z527">
        <f>IFERROR(VLOOKUP(Проливка[[#This Row],[ID]]*1,'Срок хранения'!A527:C625,3,0),0)</f>
        <v>0</v>
      </c>
    </row>
    <row r="528" spans="1:26" x14ac:dyDescent="0.25">
      <c r="A528" s="9"/>
      <c r="B528" s="12" t="str">
        <f t="shared" si="33"/>
        <v xml:space="preserve"> </v>
      </c>
      <c r="C528" s="10" t="str">
        <f t="shared" si="32"/>
        <v xml:space="preserve"> </v>
      </c>
      <c r="D528" s="10">
        <f t="shared" si="34"/>
        <v>0</v>
      </c>
      <c r="E528" s="10">
        <f t="shared" si="35"/>
        <v>0</v>
      </c>
      <c r="W528" t="str">
        <f>IFERROR(MID(Проливка[[#This Row],[Штрихкод ]],1,FIND("-",Проливка[[#This Row],[Штрихкод ]],1)-1)," ")</f>
        <v xml:space="preserve"> </v>
      </c>
      <c r="X528" t="str">
        <f>IFERROR(RIGHT(Проливка[[#This Row],[Штрихкод ]],LEN(Проливка[[#This Row],[Штрихкод ]])-SEARCH("-",Проливка[[#This Row],[Штрихкод ]],1))," ")</f>
        <v xml:space="preserve"> </v>
      </c>
      <c r="Y528">
        <f>IFERROR(VLOOKUP(Проливка[[#This Row],[ID]]*1,'Срок хранения'!A528:B626,2,0),0)</f>
        <v>0</v>
      </c>
      <c r="Z528">
        <f>IFERROR(VLOOKUP(Проливка[[#This Row],[ID]]*1,'Срок хранения'!A528:C626,3,0),0)</f>
        <v>0</v>
      </c>
    </row>
    <row r="529" spans="1:26" x14ac:dyDescent="0.25">
      <c r="A529" s="9"/>
      <c r="B529" s="12" t="str">
        <f t="shared" si="33"/>
        <v xml:space="preserve"> </v>
      </c>
      <c r="C529" s="10" t="str">
        <f t="shared" si="32"/>
        <v xml:space="preserve"> </v>
      </c>
      <c r="D529" s="10">
        <f t="shared" si="34"/>
        <v>0</v>
      </c>
      <c r="E529" s="10">
        <f t="shared" si="35"/>
        <v>0</v>
      </c>
      <c r="W529" t="str">
        <f>IFERROR(MID(Проливка[[#This Row],[Штрихкод ]],1,FIND("-",Проливка[[#This Row],[Штрихкод ]],1)-1)," ")</f>
        <v xml:space="preserve"> </v>
      </c>
      <c r="X529" t="str">
        <f>IFERROR(RIGHT(Проливка[[#This Row],[Штрихкод ]],LEN(Проливка[[#This Row],[Штрихкод ]])-SEARCH("-",Проливка[[#This Row],[Штрихкод ]],1))," ")</f>
        <v xml:space="preserve"> </v>
      </c>
      <c r="Y529">
        <f>IFERROR(VLOOKUP(Проливка[[#This Row],[ID]]*1,'Срок хранения'!A529:B627,2,0),0)</f>
        <v>0</v>
      </c>
      <c r="Z529">
        <f>IFERROR(VLOOKUP(Проливка[[#This Row],[ID]]*1,'Срок хранения'!A529:C627,3,0),0)</f>
        <v>0</v>
      </c>
    </row>
    <row r="530" spans="1:26" x14ac:dyDescent="0.25">
      <c r="A530" s="9"/>
      <c r="B530" s="12" t="str">
        <f t="shared" si="33"/>
        <v xml:space="preserve"> </v>
      </c>
      <c r="C530" s="10" t="str">
        <f t="shared" si="32"/>
        <v xml:space="preserve"> </v>
      </c>
      <c r="D530" s="10">
        <f t="shared" si="34"/>
        <v>0</v>
      </c>
      <c r="E530" s="10">
        <f t="shared" si="35"/>
        <v>0</v>
      </c>
      <c r="W530" t="str">
        <f>IFERROR(MID(Проливка[[#This Row],[Штрихкод ]],1,FIND("-",Проливка[[#This Row],[Штрихкод ]],1)-1)," ")</f>
        <v xml:space="preserve"> </v>
      </c>
      <c r="X530" t="str">
        <f>IFERROR(RIGHT(Проливка[[#This Row],[Штрихкод ]],LEN(Проливка[[#This Row],[Штрихкод ]])-SEARCH("-",Проливка[[#This Row],[Штрихкод ]],1))," ")</f>
        <v xml:space="preserve"> </v>
      </c>
      <c r="Y530">
        <f>IFERROR(VLOOKUP(Проливка[[#This Row],[ID]]*1,'Срок хранения'!A530:B628,2,0),0)</f>
        <v>0</v>
      </c>
      <c r="Z530">
        <f>IFERROR(VLOOKUP(Проливка[[#This Row],[ID]]*1,'Срок хранения'!A530:C628,3,0),0)</f>
        <v>0</v>
      </c>
    </row>
    <row r="531" spans="1:26" x14ac:dyDescent="0.25">
      <c r="A531" s="9"/>
      <c r="B531" s="12" t="str">
        <f t="shared" si="33"/>
        <v xml:space="preserve"> </v>
      </c>
      <c r="C531" s="10" t="str">
        <f t="shared" si="32"/>
        <v xml:space="preserve"> </v>
      </c>
      <c r="D531" s="10">
        <f t="shared" si="34"/>
        <v>0</v>
      </c>
      <c r="E531" s="10">
        <f t="shared" si="35"/>
        <v>0</v>
      </c>
      <c r="W531" t="str">
        <f>IFERROR(MID(Проливка[[#This Row],[Штрихкод ]],1,FIND("-",Проливка[[#This Row],[Штрихкод ]],1)-1)," ")</f>
        <v xml:space="preserve"> </v>
      </c>
      <c r="X531" t="str">
        <f>IFERROR(RIGHT(Проливка[[#This Row],[Штрихкод ]],LEN(Проливка[[#This Row],[Штрихкод ]])-SEARCH("-",Проливка[[#This Row],[Штрихкод ]],1))," ")</f>
        <v xml:space="preserve"> </v>
      </c>
      <c r="Y531">
        <f>IFERROR(VLOOKUP(Проливка[[#This Row],[ID]]*1,'Срок хранения'!A531:B629,2,0),0)</f>
        <v>0</v>
      </c>
      <c r="Z531">
        <f>IFERROR(VLOOKUP(Проливка[[#This Row],[ID]]*1,'Срок хранения'!A531:C629,3,0),0)</f>
        <v>0</v>
      </c>
    </row>
    <row r="532" spans="1:26" x14ac:dyDescent="0.25">
      <c r="A532" s="9"/>
      <c r="B532" s="12" t="str">
        <f t="shared" si="33"/>
        <v xml:space="preserve"> </v>
      </c>
      <c r="C532" s="10" t="str">
        <f t="shared" si="32"/>
        <v xml:space="preserve"> </v>
      </c>
      <c r="D532" s="10">
        <f t="shared" si="34"/>
        <v>0</v>
      </c>
      <c r="E532" s="10">
        <f t="shared" si="35"/>
        <v>0</v>
      </c>
      <c r="W532" t="str">
        <f>IFERROR(MID(Проливка[[#This Row],[Штрихкод ]],1,FIND("-",Проливка[[#This Row],[Штрихкод ]],1)-1)," ")</f>
        <v xml:space="preserve"> </v>
      </c>
      <c r="X532" t="str">
        <f>IFERROR(RIGHT(Проливка[[#This Row],[Штрихкод ]],LEN(Проливка[[#This Row],[Штрихкод ]])-SEARCH("-",Проливка[[#This Row],[Штрихкод ]],1))," ")</f>
        <v xml:space="preserve"> </v>
      </c>
      <c r="Y532">
        <f>IFERROR(VLOOKUP(Проливка[[#This Row],[ID]]*1,'Срок хранения'!A532:B630,2,0),0)</f>
        <v>0</v>
      </c>
      <c r="Z532">
        <f>IFERROR(VLOOKUP(Проливка[[#This Row],[ID]]*1,'Срок хранения'!A532:C630,3,0),0)</f>
        <v>0</v>
      </c>
    </row>
    <row r="533" spans="1:26" x14ac:dyDescent="0.25">
      <c r="A533" s="9"/>
      <c r="B533" s="12" t="str">
        <f t="shared" si="33"/>
        <v xml:space="preserve"> </v>
      </c>
      <c r="C533" s="10" t="str">
        <f t="shared" si="32"/>
        <v xml:space="preserve"> </v>
      </c>
      <c r="D533" s="10">
        <f t="shared" si="34"/>
        <v>0</v>
      </c>
      <c r="E533" s="10">
        <f t="shared" si="35"/>
        <v>0</v>
      </c>
      <c r="W533" t="str">
        <f>IFERROR(MID(Проливка[[#This Row],[Штрихкод ]],1,FIND("-",Проливка[[#This Row],[Штрихкод ]],1)-1)," ")</f>
        <v xml:space="preserve"> </v>
      </c>
      <c r="X533" t="str">
        <f>IFERROR(RIGHT(Проливка[[#This Row],[Штрихкод ]],LEN(Проливка[[#This Row],[Штрихкод ]])-SEARCH("-",Проливка[[#This Row],[Штрихкод ]],1))," ")</f>
        <v xml:space="preserve"> </v>
      </c>
      <c r="Y533">
        <f>IFERROR(VLOOKUP(Проливка[[#This Row],[ID]]*1,'Срок хранения'!A533:B631,2,0),0)</f>
        <v>0</v>
      </c>
      <c r="Z533">
        <f>IFERROR(VLOOKUP(Проливка[[#This Row],[ID]]*1,'Срок хранения'!A533:C631,3,0),0)</f>
        <v>0</v>
      </c>
    </row>
    <row r="534" spans="1:26" x14ac:dyDescent="0.25">
      <c r="A534" s="9"/>
      <c r="B534" s="12" t="str">
        <f t="shared" si="33"/>
        <v xml:space="preserve"> </v>
      </c>
      <c r="C534" s="10" t="str">
        <f t="shared" si="32"/>
        <v xml:space="preserve"> </v>
      </c>
      <c r="D534" s="10">
        <f t="shared" si="34"/>
        <v>0</v>
      </c>
      <c r="E534" s="10">
        <f t="shared" si="35"/>
        <v>0</v>
      </c>
      <c r="W534" t="str">
        <f>IFERROR(MID(Проливка[[#This Row],[Штрихкод ]],1,FIND("-",Проливка[[#This Row],[Штрихкод ]],1)-1)," ")</f>
        <v xml:space="preserve"> </v>
      </c>
      <c r="X534" t="str">
        <f>IFERROR(RIGHT(Проливка[[#This Row],[Штрихкод ]],LEN(Проливка[[#This Row],[Штрихкод ]])-SEARCH("-",Проливка[[#This Row],[Штрихкод ]],1))," ")</f>
        <v xml:space="preserve"> </v>
      </c>
      <c r="Y534">
        <f>IFERROR(VLOOKUP(Проливка[[#This Row],[ID]]*1,'Срок хранения'!A534:B632,2,0),0)</f>
        <v>0</v>
      </c>
      <c r="Z534">
        <f>IFERROR(VLOOKUP(Проливка[[#This Row],[ID]]*1,'Срок хранения'!A534:C632,3,0),0)</f>
        <v>0</v>
      </c>
    </row>
    <row r="535" spans="1:26" x14ac:dyDescent="0.25">
      <c r="A535" s="9"/>
      <c r="B535" s="12" t="str">
        <f t="shared" si="33"/>
        <v xml:space="preserve"> </v>
      </c>
      <c r="C535" s="10" t="str">
        <f t="shared" si="32"/>
        <v xml:space="preserve"> </v>
      </c>
      <c r="D535" s="10">
        <f t="shared" si="34"/>
        <v>0</v>
      </c>
      <c r="E535" s="10">
        <f t="shared" si="35"/>
        <v>0</v>
      </c>
      <c r="W535" t="str">
        <f>IFERROR(MID(Проливка[[#This Row],[Штрихкод ]],1,FIND("-",Проливка[[#This Row],[Штрихкод ]],1)-1)," ")</f>
        <v xml:space="preserve"> </v>
      </c>
      <c r="X535" t="str">
        <f>IFERROR(RIGHT(Проливка[[#This Row],[Штрихкод ]],LEN(Проливка[[#This Row],[Штрихкод ]])-SEARCH("-",Проливка[[#This Row],[Штрихкод ]],1))," ")</f>
        <v xml:space="preserve"> </v>
      </c>
      <c r="Y535">
        <f>IFERROR(VLOOKUP(Проливка[[#This Row],[ID]]*1,'Срок хранения'!A535:B633,2,0),0)</f>
        <v>0</v>
      </c>
      <c r="Z535">
        <f>IFERROR(VLOOKUP(Проливка[[#This Row],[ID]]*1,'Срок хранения'!A535:C633,3,0),0)</f>
        <v>0</v>
      </c>
    </row>
    <row r="536" spans="1:26" x14ac:dyDescent="0.25">
      <c r="A536" s="9"/>
      <c r="B536" s="12" t="str">
        <f t="shared" si="33"/>
        <v xml:space="preserve"> </v>
      </c>
      <c r="C536" s="10" t="str">
        <f t="shared" si="32"/>
        <v xml:space="preserve"> </v>
      </c>
      <c r="D536" s="10">
        <f t="shared" si="34"/>
        <v>0</v>
      </c>
      <c r="E536" s="10">
        <f t="shared" si="35"/>
        <v>0</v>
      </c>
      <c r="W536" t="str">
        <f>IFERROR(MID(Проливка[[#This Row],[Штрихкод ]],1,FIND("-",Проливка[[#This Row],[Штрихкод ]],1)-1)," ")</f>
        <v xml:space="preserve"> </v>
      </c>
      <c r="X536" t="str">
        <f>IFERROR(RIGHT(Проливка[[#This Row],[Штрихкод ]],LEN(Проливка[[#This Row],[Штрихкод ]])-SEARCH("-",Проливка[[#This Row],[Штрихкод ]],1))," ")</f>
        <v xml:space="preserve"> </v>
      </c>
      <c r="Y536">
        <f>IFERROR(VLOOKUP(Проливка[[#This Row],[ID]]*1,'Срок хранения'!A536:B634,2,0),0)</f>
        <v>0</v>
      </c>
      <c r="Z536">
        <f>IFERROR(VLOOKUP(Проливка[[#This Row],[ID]]*1,'Срок хранения'!A536:C634,3,0),0)</f>
        <v>0</v>
      </c>
    </row>
    <row r="537" spans="1:26" x14ac:dyDescent="0.25">
      <c r="A537" s="9"/>
      <c r="B537" s="12" t="str">
        <f t="shared" si="33"/>
        <v xml:space="preserve"> </v>
      </c>
      <c r="C537" s="10" t="str">
        <f t="shared" si="32"/>
        <v xml:space="preserve"> </v>
      </c>
      <c r="D537" s="10">
        <f t="shared" si="34"/>
        <v>0</v>
      </c>
      <c r="E537" s="10">
        <f t="shared" si="35"/>
        <v>0</v>
      </c>
      <c r="W537" t="str">
        <f>IFERROR(MID(Проливка[[#This Row],[Штрихкод ]],1,FIND("-",Проливка[[#This Row],[Штрихкод ]],1)-1)," ")</f>
        <v xml:space="preserve"> </v>
      </c>
      <c r="X537" t="str">
        <f>IFERROR(RIGHT(Проливка[[#This Row],[Штрихкод ]],LEN(Проливка[[#This Row],[Штрихкод ]])-SEARCH("-",Проливка[[#This Row],[Штрихкод ]],1))," ")</f>
        <v xml:space="preserve"> </v>
      </c>
      <c r="Y537">
        <f>IFERROR(VLOOKUP(Проливка[[#This Row],[ID]]*1,'Срок хранения'!A537:B635,2,0),0)</f>
        <v>0</v>
      </c>
      <c r="Z537">
        <f>IFERROR(VLOOKUP(Проливка[[#This Row],[ID]]*1,'Срок хранения'!A537:C635,3,0),0)</f>
        <v>0</v>
      </c>
    </row>
    <row r="538" spans="1:26" x14ac:dyDescent="0.25">
      <c r="A538" s="9"/>
      <c r="B538" s="12" t="str">
        <f t="shared" si="33"/>
        <v xml:space="preserve"> </v>
      </c>
      <c r="C538" s="10" t="str">
        <f t="shared" si="32"/>
        <v xml:space="preserve"> </v>
      </c>
      <c r="D538" s="10">
        <f t="shared" si="34"/>
        <v>0</v>
      </c>
      <c r="E538" s="10">
        <f t="shared" si="35"/>
        <v>0</v>
      </c>
      <c r="W538" t="str">
        <f>IFERROR(MID(Проливка[[#This Row],[Штрихкод ]],1,FIND("-",Проливка[[#This Row],[Штрихкод ]],1)-1)," ")</f>
        <v xml:space="preserve"> </v>
      </c>
      <c r="X538" t="str">
        <f>IFERROR(RIGHT(Проливка[[#This Row],[Штрихкод ]],LEN(Проливка[[#This Row],[Штрихкод ]])-SEARCH("-",Проливка[[#This Row],[Штрихкод ]],1))," ")</f>
        <v xml:space="preserve"> </v>
      </c>
      <c r="Y538">
        <f>IFERROR(VLOOKUP(Проливка[[#This Row],[ID]]*1,'Срок хранения'!A538:B636,2,0),0)</f>
        <v>0</v>
      </c>
      <c r="Z538">
        <f>IFERROR(VLOOKUP(Проливка[[#This Row],[ID]]*1,'Срок хранения'!A538:C636,3,0),0)</f>
        <v>0</v>
      </c>
    </row>
    <row r="539" spans="1:26" x14ac:dyDescent="0.25">
      <c r="A539" s="9"/>
      <c r="B539" s="12" t="str">
        <f t="shared" si="33"/>
        <v xml:space="preserve"> </v>
      </c>
      <c r="C539" s="10" t="str">
        <f t="shared" si="32"/>
        <v xml:space="preserve"> </v>
      </c>
      <c r="D539" s="10">
        <f t="shared" si="34"/>
        <v>0</v>
      </c>
      <c r="E539" s="10">
        <f t="shared" si="35"/>
        <v>0</v>
      </c>
      <c r="W539" t="str">
        <f>IFERROR(MID(Проливка[[#This Row],[Штрихкод ]],1,FIND("-",Проливка[[#This Row],[Штрихкод ]],1)-1)," ")</f>
        <v xml:space="preserve"> </v>
      </c>
      <c r="X539" t="str">
        <f>IFERROR(RIGHT(Проливка[[#This Row],[Штрихкод ]],LEN(Проливка[[#This Row],[Штрихкод ]])-SEARCH("-",Проливка[[#This Row],[Штрихкод ]],1))," ")</f>
        <v xml:space="preserve"> </v>
      </c>
      <c r="Y539">
        <f>IFERROR(VLOOKUP(Проливка[[#This Row],[ID]]*1,'Срок хранения'!A539:B637,2,0),0)</f>
        <v>0</v>
      </c>
      <c r="Z539">
        <f>IFERROR(VLOOKUP(Проливка[[#This Row],[ID]]*1,'Срок хранения'!A539:C637,3,0),0)</f>
        <v>0</v>
      </c>
    </row>
    <row r="540" spans="1:26" x14ac:dyDescent="0.25">
      <c r="A540" s="9"/>
      <c r="B540" s="12" t="str">
        <f t="shared" si="33"/>
        <v xml:space="preserve"> </v>
      </c>
      <c r="C540" s="10" t="str">
        <f t="shared" si="32"/>
        <v xml:space="preserve"> </v>
      </c>
      <c r="D540" s="10">
        <f t="shared" si="34"/>
        <v>0</v>
      </c>
      <c r="E540" s="10">
        <f t="shared" si="35"/>
        <v>0</v>
      </c>
      <c r="W540" t="str">
        <f>IFERROR(MID(Проливка[[#This Row],[Штрихкод ]],1,FIND("-",Проливка[[#This Row],[Штрихкод ]],1)-1)," ")</f>
        <v xml:space="preserve"> </v>
      </c>
      <c r="X540" t="str">
        <f>IFERROR(RIGHT(Проливка[[#This Row],[Штрихкод ]],LEN(Проливка[[#This Row],[Штрихкод ]])-SEARCH("-",Проливка[[#This Row],[Штрихкод ]],1))," ")</f>
        <v xml:space="preserve"> </v>
      </c>
      <c r="Y540">
        <f>IFERROR(VLOOKUP(Проливка[[#This Row],[ID]]*1,'Срок хранения'!A540:B638,2,0),0)</f>
        <v>0</v>
      </c>
      <c r="Z540">
        <f>IFERROR(VLOOKUP(Проливка[[#This Row],[ID]]*1,'Срок хранения'!A540:C638,3,0),0)</f>
        <v>0</v>
      </c>
    </row>
    <row r="541" spans="1:26" x14ac:dyDescent="0.25">
      <c r="A541" s="9"/>
      <c r="B541" s="12" t="str">
        <f t="shared" si="33"/>
        <v xml:space="preserve"> </v>
      </c>
      <c r="C541" s="10" t="str">
        <f t="shared" si="32"/>
        <v xml:space="preserve"> </v>
      </c>
      <c r="D541" s="10">
        <f t="shared" si="34"/>
        <v>0</v>
      </c>
      <c r="E541" s="10">
        <f t="shared" si="35"/>
        <v>0</v>
      </c>
      <c r="W541" t="str">
        <f>IFERROR(MID(Проливка[[#This Row],[Штрихкод ]],1,FIND("-",Проливка[[#This Row],[Штрихкод ]],1)-1)," ")</f>
        <v xml:space="preserve"> </v>
      </c>
      <c r="X541" t="str">
        <f>IFERROR(RIGHT(Проливка[[#This Row],[Штрихкод ]],LEN(Проливка[[#This Row],[Штрихкод ]])-SEARCH("-",Проливка[[#This Row],[Штрихкод ]],1))," ")</f>
        <v xml:space="preserve"> </v>
      </c>
      <c r="Y541">
        <f>IFERROR(VLOOKUP(Проливка[[#This Row],[ID]]*1,'Срок хранения'!A541:B639,2,0),0)</f>
        <v>0</v>
      </c>
      <c r="Z541">
        <f>IFERROR(VLOOKUP(Проливка[[#This Row],[ID]]*1,'Срок хранения'!A541:C639,3,0),0)</f>
        <v>0</v>
      </c>
    </row>
    <row r="542" spans="1:26" x14ac:dyDescent="0.25">
      <c r="A542" s="9"/>
      <c r="B542" s="12" t="str">
        <f t="shared" si="33"/>
        <v xml:space="preserve"> </v>
      </c>
      <c r="C542" s="10" t="str">
        <f t="shared" si="32"/>
        <v xml:space="preserve"> </v>
      </c>
      <c r="D542" s="10">
        <f t="shared" si="34"/>
        <v>0</v>
      </c>
      <c r="E542" s="10">
        <f t="shared" si="35"/>
        <v>0</v>
      </c>
      <c r="W542" t="str">
        <f>IFERROR(MID(Проливка[[#This Row],[Штрихкод ]],1,FIND("-",Проливка[[#This Row],[Штрихкод ]],1)-1)," ")</f>
        <v xml:space="preserve"> </v>
      </c>
      <c r="X542" t="str">
        <f>IFERROR(RIGHT(Проливка[[#This Row],[Штрихкод ]],LEN(Проливка[[#This Row],[Штрихкод ]])-SEARCH("-",Проливка[[#This Row],[Штрихкод ]],1))," ")</f>
        <v xml:space="preserve"> </v>
      </c>
      <c r="Y542">
        <f>IFERROR(VLOOKUP(Проливка[[#This Row],[ID]]*1,'Срок хранения'!A542:B640,2,0),0)</f>
        <v>0</v>
      </c>
      <c r="Z542">
        <f>IFERROR(VLOOKUP(Проливка[[#This Row],[ID]]*1,'Срок хранения'!A542:C640,3,0),0)</f>
        <v>0</v>
      </c>
    </row>
    <row r="543" spans="1:26" x14ac:dyDescent="0.25">
      <c r="A543" s="9"/>
      <c r="B543" s="12" t="str">
        <f t="shared" si="33"/>
        <v xml:space="preserve"> </v>
      </c>
      <c r="C543" s="10" t="str">
        <f t="shared" si="32"/>
        <v xml:space="preserve"> </v>
      </c>
      <c r="D543" s="10">
        <f t="shared" si="34"/>
        <v>0</v>
      </c>
      <c r="E543" s="10">
        <f t="shared" si="35"/>
        <v>0</v>
      </c>
      <c r="W543" t="str">
        <f>IFERROR(MID(Проливка[[#This Row],[Штрихкод ]],1,FIND("-",Проливка[[#This Row],[Штрихкод ]],1)-1)," ")</f>
        <v xml:space="preserve"> </v>
      </c>
      <c r="X543" t="str">
        <f>IFERROR(RIGHT(Проливка[[#This Row],[Штрихкод ]],LEN(Проливка[[#This Row],[Штрихкод ]])-SEARCH("-",Проливка[[#This Row],[Штрихкод ]],1))," ")</f>
        <v xml:space="preserve"> </v>
      </c>
      <c r="Y543">
        <f>IFERROR(VLOOKUP(Проливка[[#This Row],[ID]]*1,'Срок хранения'!A543:B641,2,0),0)</f>
        <v>0</v>
      </c>
      <c r="Z543">
        <f>IFERROR(VLOOKUP(Проливка[[#This Row],[ID]]*1,'Срок хранения'!A543:C641,3,0),0)</f>
        <v>0</v>
      </c>
    </row>
    <row r="544" spans="1:26" x14ac:dyDescent="0.25">
      <c r="A544" s="9"/>
      <c r="B544" s="12" t="str">
        <f t="shared" si="33"/>
        <v xml:space="preserve"> </v>
      </c>
      <c r="C544" s="10" t="str">
        <f t="shared" si="32"/>
        <v xml:space="preserve"> </v>
      </c>
      <c r="D544" s="10">
        <f t="shared" si="34"/>
        <v>0</v>
      </c>
      <c r="E544" s="10">
        <f t="shared" si="35"/>
        <v>0</v>
      </c>
      <c r="W544" t="str">
        <f>IFERROR(MID(Проливка[[#This Row],[Штрихкод ]],1,FIND("-",Проливка[[#This Row],[Штрихкод ]],1)-1)," ")</f>
        <v xml:space="preserve"> </v>
      </c>
      <c r="X544" t="str">
        <f>IFERROR(RIGHT(Проливка[[#This Row],[Штрихкод ]],LEN(Проливка[[#This Row],[Штрихкод ]])-SEARCH("-",Проливка[[#This Row],[Штрихкод ]],1))," ")</f>
        <v xml:space="preserve"> </v>
      </c>
      <c r="Y544">
        <f>IFERROR(VLOOKUP(Проливка[[#This Row],[ID]]*1,'Срок хранения'!A544:B642,2,0),0)</f>
        <v>0</v>
      </c>
      <c r="Z544">
        <f>IFERROR(VLOOKUP(Проливка[[#This Row],[ID]]*1,'Срок хранения'!A544:C642,3,0),0)</f>
        <v>0</v>
      </c>
    </row>
    <row r="545" spans="1:26" x14ac:dyDescent="0.25">
      <c r="A545" s="9"/>
      <c r="B545" s="12" t="str">
        <f t="shared" si="33"/>
        <v xml:space="preserve"> </v>
      </c>
      <c r="C545" s="10" t="str">
        <f t="shared" si="32"/>
        <v xml:space="preserve"> </v>
      </c>
      <c r="D545" s="10">
        <f t="shared" si="34"/>
        <v>0</v>
      </c>
      <c r="E545" s="10">
        <f t="shared" si="35"/>
        <v>0</v>
      </c>
      <c r="W545" t="str">
        <f>IFERROR(MID(Проливка[[#This Row],[Штрихкод ]],1,FIND("-",Проливка[[#This Row],[Штрихкод ]],1)-1)," ")</f>
        <v xml:space="preserve"> </v>
      </c>
      <c r="X545" t="str">
        <f>IFERROR(RIGHT(Проливка[[#This Row],[Штрихкод ]],LEN(Проливка[[#This Row],[Штрихкод ]])-SEARCH("-",Проливка[[#This Row],[Штрихкод ]],1))," ")</f>
        <v xml:space="preserve"> </v>
      </c>
      <c r="Y545">
        <f>IFERROR(VLOOKUP(Проливка[[#This Row],[ID]]*1,'Срок хранения'!A545:B643,2,0),0)</f>
        <v>0</v>
      </c>
      <c r="Z545">
        <f>IFERROR(VLOOKUP(Проливка[[#This Row],[ID]]*1,'Срок хранения'!A545:C643,3,0),0)</f>
        <v>0</v>
      </c>
    </row>
    <row r="546" spans="1:26" x14ac:dyDescent="0.25">
      <c r="A546" s="9"/>
      <c r="B546" s="12" t="str">
        <f t="shared" si="33"/>
        <v xml:space="preserve"> </v>
      </c>
      <c r="C546" s="10" t="str">
        <f t="shared" si="32"/>
        <v xml:space="preserve"> </v>
      </c>
      <c r="D546" s="10">
        <f t="shared" si="34"/>
        <v>0</v>
      </c>
      <c r="E546" s="10">
        <f t="shared" si="35"/>
        <v>0</v>
      </c>
      <c r="W546" t="str">
        <f>IFERROR(MID(Проливка[[#This Row],[Штрихкод ]],1,FIND("-",Проливка[[#This Row],[Штрихкод ]],1)-1)," ")</f>
        <v xml:space="preserve"> </v>
      </c>
      <c r="X546" t="str">
        <f>IFERROR(RIGHT(Проливка[[#This Row],[Штрихкод ]],LEN(Проливка[[#This Row],[Штрихкод ]])-SEARCH("-",Проливка[[#This Row],[Штрихкод ]],1))," ")</f>
        <v xml:space="preserve"> </v>
      </c>
      <c r="Y546">
        <f>IFERROR(VLOOKUP(Проливка[[#This Row],[ID]]*1,'Срок хранения'!A546:B644,2,0),0)</f>
        <v>0</v>
      </c>
      <c r="Z546">
        <f>IFERROR(VLOOKUP(Проливка[[#This Row],[ID]]*1,'Срок хранения'!A546:C644,3,0),0)</f>
        <v>0</v>
      </c>
    </row>
    <row r="547" spans="1:26" x14ac:dyDescent="0.25">
      <c r="A547" s="9"/>
      <c r="B547" s="12" t="str">
        <f t="shared" si="33"/>
        <v xml:space="preserve"> </v>
      </c>
      <c r="C547" s="10" t="str">
        <f t="shared" si="32"/>
        <v xml:space="preserve"> </v>
      </c>
      <c r="D547" s="10">
        <f t="shared" si="34"/>
        <v>0</v>
      </c>
      <c r="E547" s="10">
        <f t="shared" si="35"/>
        <v>0</v>
      </c>
      <c r="W547" t="str">
        <f>IFERROR(MID(Проливка[[#This Row],[Штрихкод ]],1,FIND("-",Проливка[[#This Row],[Штрихкод ]],1)-1)," ")</f>
        <v xml:space="preserve"> </v>
      </c>
      <c r="X547" t="str">
        <f>IFERROR(RIGHT(Проливка[[#This Row],[Штрихкод ]],LEN(Проливка[[#This Row],[Штрихкод ]])-SEARCH("-",Проливка[[#This Row],[Штрихкод ]],1))," ")</f>
        <v xml:space="preserve"> </v>
      </c>
      <c r="Y547">
        <f>IFERROR(VLOOKUP(Проливка[[#This Row],[ID]]*1,'Срок хранения'!A547:B645,2,0),0)</f>
        <v>0</v>
      </c>
      <c r="Z547">
        <f>IFERROR(VLOOKUP(Проливка[[#This Row],[ID]]*1,'Срок хранения'!A547:C645,3,0),0)</f>
        <v>0</v>
      </c>
    </row>
    <row r="548" spans="1:26" x14ac:dyDescent="0.25">
      <c r="A548" s="9"/>
      <c r="B548" s="12" t="str">
        <f t="shared" si="33"/>
        <v xml:space="preserve"> </v>
      </c>
      <c r="C548" s="10" t="str">
        <f t="shared" si="32"/>
        <v xml:space="preserve"> </v>
      </c>
      <c r="D548" s="10">
        <f t="shared" si="34"/>
        <v>0</v>
      </c>
      <c r="E548" s="10">
        <f t="shared" si="35"/>
        <v>0</v>
      </c>
      <c r="W548" t="str">
        <f>IFERROR(MID(Проливка[[#This Row],[Штрихкод ]],1,FIND("-",Проливка[[#This Row],[Штрихкод ]],1)-1)," ")</f>
        <v xml:space="preserve"> </v>
      </c>
      <c r="X548" t="str">
        <f>IFERROR(RIGHT(Проливка[[#This Row],[Штрихкод ]],LEN(Проливка[[#This Row],[Штрихкод ]])-SEARCH("-",Проливка[[#This Row],[Штрихкод ]],1))," ")</f>
        <v xml:space="preserve"> </v>
      </c>
      <c r="Y548">
        <f>IFERROR(VLOOKUP(Проливка[[#This Row],[ID]]*1,'Срок хранения'!A548:B646,2,0),0)</f>
        <v>0</v>
      </c>
      <c r="Z548">
        <f>IFERROR(VLOOKUP(Проливка[[#This Row],[ID]]*1,'Срок хранения'!A548:C646,3,0),0)</f>
        <v>0</v>
      </c>
    </row>
    <row r="549" spans="1:26" x14ac:dyDescent="0.25">
      <c r="A549" s="9"/>
      <c r="B549" s="12" t="str">
        <f t="shared" si="33"/>
        <v xml:space="preserve"> </v>
      </c>
      <c r="C549" s="10" t="str">
        <f t="shared" si="32"/>
        <v xml:space="preserve"> </v>
      </c>
      <c r="D549" s="10">
        <f t="shared" si="34"/>
        <v>0</v>
      </c>
      <c r="E549" s="10">
        <f t="shared" si="35"/>
        <v>0</v>
      </c>
      <c r="W549" t="str">
        <f>IFERROR(MID(Проливка[[#This Row],[Штрихкод ]],1,FIND("-",Проливка[[#This Row],[Штрихкод ]],1)-1)," ")</f>
        <v xml:space="preserve"> </v>
      </c>
      <c r="X549" t="str">
        <f>IFERROR(RIGHT(Проливка[[#This Row],[Штрихкод ]],LEN(Проливка[[#This Row],[Штрихкод ]])-SEARCH("-",Проливка[[#This Row],[Штрихкод ]],1))," ")</f>
        <v xml:space="preserve"> </v>
      </c>
      <c r="Y549">
        <f>IFERROR(VLOOKUP(Проливка[[#This Row],[ID]]*1,'Срок хранения'!A549:B647,2,0),0)</f>
        <v>0</v>
      </c>
      <c r="Z549">
        <f>IFERROR(VLOOKUP(Проливка[[#This Row],[ID]]*1,'Срок хранения'!A549:C647,3,0),0)</f>
        <v>0</v>
      </c>
    </row>
    <row r="550" spans="1:26" x14ac:dyDescent="0.25">
      <c r="A550" s="9"/>
      <c r="B550" s="12" t="str">
        <f t="shared" si="33"/>
        <v xml:space="preserve"> </v>
      </c>
      <c r="C550" s="10" t="str">
        <f t="shared" si="32"/>
        <v xml:space="preserve"> </v>
      </c>
      <c r="D550" s="10">
        <f t="shared" si="34"/>
        <v>0</v>
      </c>
      <c r="E550" s="10">
        <f t="shared" si="35"/>
        <v>0</v>
      </c>
      <c r="W550" t="str">
        <f>IFERROR(MID(Проливка[[#This Row],[Штрихкод ]],1,FIND("-",Проливка[[#This Row],[Штрихкод ]],1)-1)," ")</f>
        <v xml:space="preserve"> </v>
      </c>
      <c r="X550" t="str">
        <f>IFERROR(RIGHT(Проливка[[#This Row],[Штрихкод ]],LEN(Проливка[[#This Row],[Штрихкод ]])-SEARCH("-",Проливка[[#This Row],[Штрихкод ]],1))," ")</f>
        <v xml:space="preserve"> </v>
      </c>
      <c r="Y550">
        <f>IFERROR(VLOOKUP(Проливка[[#This Row],[ID]]*1,'Срок хранения'!A550:B648,2,0),0)</f>
        <v>0</v>
      </c>
      <c r="Z550">
        <f>IFERROR(VLOOKUP(Проливка[[#This Row],[ID]]*1,'Срок хранения'!A550:C648,3,0),0)</f>
        <v>0</v>
      </c>
    </row>
    <row r="551" spans="1:26" x14ac:dyDescent="0.25">
      <c r="A551" s="9"/>
      <c r="B551" s="12" t="str">
        <f t="shared" si="33"/>
        <v xml:space="preserve"> </v>
      </c>
      <c r="C551" s="10" t="str">
        <f t="shared" si="32"/>
        <v xml:space="preserve"> </v>
      </c>
      <c r="D551" s="10">
        <f t="shared" si="34"/>
        <v>0</v>
      </c>
      <c r="E551" s="10">
        <f t="shared" si="35"/>
        <v>0</v>
      </c>
      <c r="W551" t="str">
        <f>IFERROR(MID(Проливка[[#This Row],[Штрихкод ]],1,FIND("-",Проливка[[#This Row],[Штрихкод ]],1)-1)," ")</f>
        <v xml:space="preserve"> </v>
      </c>
      <c r="X551" t="str">
        <f>IFERROR(RIGHT(Проливка[[#This Row],[Штрихкод ]],LEN(Проливка[[#This Row],[Штрихкод ]])-SEARCH("-",Проливка[[#This Row],[Штрихкод ]],1))," ")</f>
        <v xml:space="preserve"> </v>
      </c>
      <c r="Y551">
        <f>IFERROR(VLOOKUP(Проливка[[#This Row],[ID]]*1,'Срок хранения'!A551:B649,2,0),0)</f>
        <v>0</v>
      </c>
      <c r="Z551">
        <f>IFERROR(VLOOKUP(Проливка[[#This Row],[ID]]*1,'Срок хранения'!A551:C649,3,0),0)</f>
        <v>0</v>
      </c>
    </row>
    <row r="552" spans="1:26" x14ac:dyDescent="0.25">
      <c r="A552" s="9"/>
      <c r="B552" s="12" t="str">
        <f t="shared" si="33"/>
        <v xml:space="preserve"> </v>
      </c>
      <c r="C552" s="10" t="str">
        <f t="shared" si="32"/>
        <v xml:space="preserve"> </v>
      </c>
      <c r="D552" s="10">
        <f t="shared" si="34"/>
        <v>0</v>
      </c>
      <c r="E552" s="10">
        <f t="shared" si="35"/>
        <v>0</v>
      </c>
      <c r="W552" t="str">
        <f>IFERROR(MID(Проливка[[#This Row],[Штрихкод ]],1,FIND("-",Проливка[[#This Row],[Штрихкод ]],1)-1)," ")</f>
        <v xml:space="preserve"> </v>
      </c>
      <c r="X552" t="str">
        <f>IFERROR(RIGHT(Проливка[[#This Row],[Штрихкод ]],LEN(Проливка[[#This Row],[Штрихкод ]])-SEARCH("-",Проливка[[#This Row],[Штрихкод ]],1))," ")</f>
        <v xml:space="preserve"> </v>
      </c>
      <c r="Y552">
        <f>IFERROR(VLOOKUP(Проливка[[#This Row],[ID]]*1,'Срок хранения'!A552:B650,2,0),0)</f>
        <v>0</v>
      </c>
      <c r="Z552">
        <f>IFERROR(VLOOKUP(Проливка[[#This Row],[ID]]*1,'Срок хранения'!A552:C650,3,0),0)</f>
        <v>0</v>
      </c>
    </row>
    <row r="553" spans="1:26" x14ac:dyDescent="0.25">
      <c r="A553" s="9"/>
      <c r="B553" s="12" t="str">
        <f t="shared" si="33"/>
        <v xml:space="preserve"> </v>
      </c>
      <c r="C553" s="10" t="str">
        <f t="shared" si="32"/>
        <v xml:space="preserve"> </v>
      </c>
      <c r="D553" s="10">
        <f t="shared" si="34"/>
        <v>0</v>
      </c>
      <c r="E553" s="10">
        <f t="shared" si="35"/>
        <v>0</v>
      </c>
      <c r="W553" t="str">
        <f>IFERROR(MID(Проливка[[#This Row],[Штрихкод ]],1,FIND("-",Проливка[[#This Row],[Штрихкод ]],1)-1)," ")</f>
        <v xml:space="preserve"> </v>
      </c>
      <c r="X553" t="str">
        <f>IFERROR(RIGHT(Проливка[[#This Row],[Штрихкод ]],LEN(Проливка[[#This Row],[Штрихкод ]])-SEARCH("-",Проливка[[#This Row],[Штрихкод ]],1))," ")</f>
        <v xml:space="preserve"> </v>
      </c>
      <c r="Y553">
        <f>IFERROR(VLOOKUP(Проливка[[#This Row],[ID]]*1,'Срок хранения'!A553:B651,2,0),0)</f>
        <v>0</v>
      </c>
      <c r="Z553">
        <f>IFERROR(VLOOKUP(Проливка[[#This Row],[ID]]*1,'Срок хранения'!A553:C651,3,0),0)</f>
        <v>0</v>
      </c>
    </row>
    <row r="554" spans="1:26" x14ac:dyDescent="0.25">
      <c r="A554" s="9"/>
      <c r="B554" s="12" t="str">
        <f t="shared" si="33"/>
        <v xml:space="preserve"> </v>
      </c>
      <c r="C554" s="10" t="str">
        <f t="shared" si="32"/>
        <v xml:space="preserve"> </v>
      </c>
      <c r="D554" s="10">
        <f t="shared" si="34"/>
        <v>0</v>
      </c>
      <c r="E554" s="10">
        <f t="shared" si="35"/>
        <v>0</v>
      </c>
      <c r="W554" t="str">
        <f>IFERROR(MID(Проливка[[#This Row],[Штрихкод ]],1,FIND("-",Проливка[[#This Row],[Штрихкод ]],1)-1)," ")</f>
        <v xml:space="preserve"> </v>
      </c>
      <c r="X554" t="str">
        <f>IFERROR(RIGHT(Проливка[[#This Row],[Штрихкод ]],LEN(Проливка[[#This Row],[Штрихкод ]])-SEARCH("-",Проливка[[#This Row],[Штрихкод ]],1))," ")</f>
        <v xml:space="preserve"> </v>
      </c>
      <c r="Y554">
        <f>IFERROR(VLOOKUP(Проливка[[#This Row],[ID]]*1,'Срок хранения'!A554:B652,2,0),0)</f>
        <v>0</v>
      </c>
      <c r="Z554">
        <f>IFERROR(VLOOKUP(Проливка[[#This Row],[ID]]*1,'Срок хранения'!A554:C652,3,0),0)</f>
        <v>0</v>
      </c>
    </row>
    <row r="555" spans="1:26" x14ac:dyDescent="0.25">
      <c r="A555" s="9"/>
      <c r="B555" s="12" t="str">
        <f t="shared" si="33"/>
        <v xml:space="preserve"> </v>
      </c>
      <c r="C555" s="10" t="str">
        <f t="shared" si="32"/>
        <v xml:space="preserve"> </v>
      </c>
      <c r="D555" s="10">
        <f t="shared" si="34"/>
        <v>0</v>
      </c>
      <c r="E555" s="10">
        <f t="shared" si="35"/>
        <v>0</v>
      </c>
      <c r="W555" t="str">
        <f>IFERROR(MID(Проливка[[#This Row],[Штрихкод ]],1,FIND("-",Проливка[[#This Row],[Штрихкод ]],1)-1)," ")</f>
        <v xml:space="preserve"> </v>
      </c>
      <c r="X555" t="str">
        <f>IFERROR(RIGHT(Проливка[[#This Row],[Штрихкод ]],LEN(Проливка[[#This Row],[Штрихкод ]])-SEARCH("-",Проливка[[#This Row],[Штрихкод ]],1))," ")</f>
        <v xml:space="preserve"> </v>
      </c>
      <c r="Y555">
        <f>IFERROR(VLOOKUP(Проливка[[#This Row],[ID]]*1,'Срок хранения'!A555:B653,2,0),0)</f>
        <v>0</v>
      </c>
      <c r="Z555">
        <f>IFERROR(VLOOKUP(Проливка[[#This Row],[ID]]*1,'Срок хранения'!A555:C653,3,0),0)</f>
        <v>0</v>
      </c>
    </row>
    <row r="556" spans="1:26" x14ac:dyDescent="0.25">
      <c r="A556" s="9"/>
      <c r="B556" s="12" t="str">
        <f t="shared" si="33"/>
        <v xml:space="preserve"> </v>
      </c>
      <c r="C556" s="10" t="str">
        <f t="shared" si="32"/>
        <v xml:space="preserve"> </v>
      </c>
      <c r="D556" s="10">
        <f t="shared" si="34"/>
        <v>0</v>
      </c>
      <c r="E556" s="10">
        <f t="shared" si="35"/>
        <v>0</v>
      </c>
      <c r="W556" t="str">
        <f>IFERROR(MID(Проливка[[#This Row],[Штрихкод ]],1,FIND("-",Проливка[[#This Row],[Штрихкод ]],1)-1)," ")</f>
        <v xml:space="preserve"> </v>
      </c>
      <c r="X556" t="str">
        <f>IFERROR(RIGHT(Проливка[[#This Row],[Штрихкод ]],LEN(Проливка[[#This Row],[Штрихкод ]])-SEARCH("-",Проливка[[#This Row],[Штрихкод ]],1))," ")</f>
        <v xml:space="preserve"> </v>
      </c>
      <c r="Y556">
        <f>IFERROR(VLOOKUP(Проливка[[#This Row],[ID]]*1,'Срок хранения'!A556:B654,2,0),0)</f>
        <v>0</v>
      </c>
      <c r="Z556">
        <f>IFERROR(VLOOKUP(Проливка[[#This Row],[ID]]*1,'Срок хранения'!A556:C654,3,0),0)</f>
        <v>0</v>
      </c>
    </row>
    <row r="557" spans="1:26" x14ac:dyDescent="0.25">
      <c r="A557" s="9"/>
      <c r="B557" s="12" t="str">
        <f t="shared" si="33"/>
        <v xml:space="preserve"> </v>
      </c>
      <c r="C557" s="10" t="str">
        <f t="shared" si="32"/>
        <v xml:space="preserve"> </v>
      </c>
      <c r="D557" s="10">
        <f t="shared" si="34"/>
        <v>0</v>
      </c>
      <c r="E557" s="10">
        <f t="shared" si="35"/>
        <v>0</v>
      </c>
      <c r="W557" t="str">
        <f>IFERROR(MID(Проливка[[#This Row],[Штрихкод ]],1,FIND("-",Проливка[[#This Row],[Штрихкод ]],1)-1)," ")</f>
        <v xml:space="preserve"> </v>
      </c>
      <c r="X557" t="str">
        <f>IFERROR(RIGHT(Проливка[[#This Row],[Штрихкод ]],LEN(Проливка[[#This Row],[Штрихкод ]])-SEARCH("-",Проливка[[#This Row],[Штрихкод ]],1))," ")</f>
        <v xml:space="preserve"> </v>
      </c>
      <c r="Y557">
        <f>IFERROR(VLOOKUP(Проливка[[#This Row],[ID]]*1,'Срок хранения'!A557:B655,2,0),0)</f>
        <v>0</v>
      </c>
      <c r="Z557">
        <f>IFERROR(VLOOKUP(Проливка[[#This Row],[ID]]*1,'Срок хранения'!A557:C655,3,0),0)</f>
        <v>0</v>
      </c>
    </row>
    <row r="558" spans="1:26" x14ac:dyDescent="0.25">
      <c r="A558" s="9"/>
      <c r="B558" s="12" t="str">
        <f t="shared" si="33"/>
        <v xml:space="preserve"> </v>
      </c>
      <c r="C558" s="10" t="str">
        <f t="shared" si="32"/>
        <v xml:space="preserve"> </v>
      </c>
      <c r="D558" s="10">
        <f t="shared" si="34"/>
        <v>0</v>
      </c>
      <c r="E558" s="10">
        <f t="shared" si="35"/>
        <v>0</v>
      </c>
      <c r="W558" t="str">
        <f>IFERROR(MID(Проливка[[#This Row],[Штрихкод ]],1,FIND("-",Проливка[[#This Row],[Штрихкод ]],1)-1)," ")</f>
        <v xml:space="preserve"> </v>
      </c>
      <c r="X558" t="str">
        <f>IFERROR(RIGHT(Проливка[[#This Row],[Штрихкод ]],LEN(Проливка[[#This Row],[Штрихкод ]])-SEARCH("-",Проливка[[#This Row],[Штрихкод ]],1))," ")</f>
        <v xml:space="preserve"> </v>
      </c>
      <c r="Y558">
        <f>IFERROR(VLOOKUP(Проливка[[#This Row],[ID]]*1,'Срок хранения'!A558:B656,2,0),0)</f>
        <v>0</v>
      </c>
      <c r="Z558">
        <f>IFERROR(VLOOKUP(Проливка[[#This Row],[ID]]*1,'Срок хранения'!A558:C656,3,0),0)</f>
        <v>0</v>
      </c>
    </row>
    <row r="559" spans="1:26" x14ac:dyDescent="0.25">
      <c r="A559" s="9"/>
      <c r="B559" s="12" t="str">
        <f t="shared" si="33"/>
        <v xml:space="preserve"> </v>
      </c>
      <c r="C559" s="10" t="str">
        <f t="shared" si="32"/>
        <v xml:space="preserve"> </v>
      </c>
      <c r="D559" s="10">
        <f t="shared" si="34"/>
        <v>0</v>
      </c>
      <c r="E559" s="10">
        <f t="shared" si="35"/>
        <v>0</v>
      </c>
      <c r="W559" t="str">
        <f>IFERROR(MID(Проливка[[#This Row],[Штрихкод ]],1,FIND("-",Проливка[[#This Row],[Штрихкод ]],1)-1)," ")</f>
        <v xml:space="preserve"> </v>
      </c>
      <c r="X559" t="str">
        <f>IFERROR(RIGHT(Проливка[[#This Row],[Штрихкод ]],LEN(Проливка[[#This Row],[Штрихкод ]])-SEARCH("-",Проливка[[#This Row],[Штрихкод ]],1))," ")</f>
        <v xml:space="preserve"> </v>
      </c>
      <c r="Y559">
        <f>IFERROR(VLOOKUP(Проливка[[#This Row],[ID]]*1,'Срок хранения'!A559:B657,2,0),0)</f>
        <v>0</v>
      </c>
      <c r="Z559">
        <f>IFERROR(VLOOKUP(Проливка[[#This Row],[ID]]*1,'Срок хранения'!A559:C657,3,0),0)</f>
        <v>0</v>
      </c>
    </row>
    <row r="560" spans="1:26" x14ac:dyDescent="0.25">
      <c r="A560" s="9"/>
      <c r="B560" s="12" t="str">
        <f t="shared" si="33"/>
        <v xml:space="preserve"> </v>
      </c>
      <c r="C560" s="10" t="str">
        <f t="shared" si="32"/>
        <v xml:space="preserve"> </v>
      </c>
      <c r="D560" s="10">
        <f t="shared" si="34"/>
        <v>0</v>
      </c>
      <c r="E560" s="10">
        <f t="shared" si="35"/>
        <v>0</v>
      </c>
      <c r="W560" t="str">
        <f>IFERROR(MID(Проливка[[#This Row],[Штрихкод ]],1,FIND("-",Проливка[[#This Row],[Штрихкод ]],1)-1)," ")</f>
        <v xml:space="preserve"> </v>
      </c>
      <c r="X560" t="str">
        <f>IFERROR(RIGHT(Проливка[[#This Row],[Штрихкод ]],LEN(Проливка[[#This Row],[Штрихкод ]])-SEARCH("-",Проливка[[#This Row],[Штрихкод ]],1))," ")</f>
        <v xml:space="preserve"> </v>
      </c>
      <c r="Y560">
        <f>IFERROR(VLOOKUP(Проливка[[#This Row],[ID]]*1,'Срок хранения'!A560:B658,2,0),0)</f>
        <v>0</v>
      </c>
      <c r="Z560">
        <f>IFERROR(VLOOKUP(Проливка[[#This Row],[ID]]*1,'Срок хранения'!A560:C658,3,0),0)</f>
        <v>0</v>
      </c>
    </row>
    <row r="561" spans="1:26" x14ac:dyDescent="0.25">
      <c r="A561" s="9"/>
      <c r="B561" s="12" t="str">
        <f t="shared" si="33"/>
        <v xml:space="preserve"> </v>
      </c>
      <c r="C561" s="10" t="str">
        <f t="shared" si="32"/>
        <v xml:space="preserve"> </v>
      </c>
      <c r="D561" s="10">
        <f t="shared" si="34"/>
        <v>0</v>
      </c>
      <c r="E561" s="10">
        <f t="shared" si="35"/>
        <v>0</v>
      </c>
      <c r="W561" t="str">
        <f>IFERROR(MID(Проливка[[#This Row],[Штрихкод ]],1,FIND("-",Проливка[[#This Row],[Штрихкод ]],1)-1)," ")</f>
        <v xml:space="preserve"> </v>
      </c>
      <c r="X561" t="str">
        <f>IFERROR(RIGHT(Проливка[[#This Row],[Штрихкод ]],LEN(Проливка[[#This Row],[Штрихкод ]])-SEARCH("-",Проливка[[#This Row],[Штрихкод ]],1))," ")</f>
        <v xml:space="preserve"> </v>
      </c>
      <c r="Y561">
        <f>IFERROR(VLOOKUP(Проливка[[#This Row],[ID]]*1,'Срок хранения'!A561:B659,2,0),0)</f>
        <v>0</v>
      </c>
      <c r="Z561">
        <f>IFERROR(VLOOKUP(Проливка[[#This Row],[ID]]*1,'Срок хранения'!A561:C659,3,0),0)</f>
        <v>0</v>
      </c>
    </row>
    <row r="562" spans="1:26" x14ac:dyDescent="0.25">
      <c r="A562" s="9"/>
      <c r="B562" s="12" t="str">
        <f t="shared" si="33"/>
        <v xml:space="preserve"> </v>
      </c>
      <c r="C562" s="10" t="str">
        <f t="shared" si="32"/>
        <v xml:space="preserve"> </v>
      </c>
      <c r="D562" s="10">
        <f t="shared" si="34"/>
        <v>0</v>
      </c>
      <c r="E562" s="10">
        <f t="shared" si="35"/>
        <v>0</v>
      </c>
      <c r="W562" t="str">
        <f>IFERROR(MID(Проливка[[#This Row],[Штрихкод ]],1,FIND("-",Проливка[[#This Row],[Штрихкод ]],1)-1)," ")</f>
        <v xml:space="preserve"> </v>
      </c>
      <c r="X562" t="str">
        <f>IFERROR(RIGHT(Проливка[[#This Row],[Штрихкод ]],LEN(Проливка[[#This Row],[Штрихкод ]])-SEARCH("-",Проливка[[#This Row],[Штрихкод ]],1))," ")</f>
        <v xml:space="preserve"> </v>
      </c>
      <c r="Y562">
        <f>IFERROR(VLOOKUP(Проливка[[#This Row],[ID]]*1,'Срок хранения'!A562:B660,2,0),0)</f>
        <v>0</v>
      </c>
      <c r="Z562">
        <f>IFERROR(VLOOKUP(Проливка[[#This Row],[ID]]*1,'Срок хранения'!A562:C660,3,0),0)</f>
        <v>0</v>
      </c>
    </row>
    <row r="563" spans="1:26" x14ac:dyDescent="0.25">
      <c r="A563" s="9"/>
      <c r="B563" s="12" t="str">
        <f t="shared" si="33"/>
        <v xml:space="preserve"> </v>
      </c>
      <c r="C563" s="10" t="str">
        <f t="shared" si="32"/>
        <v xml:space="preserve"> </v>
      </c>
      <c r="D563" s="10">
        <f t="shared" si="34"/>
        <v>0</v>
      </c>
      <c r="E563" s="10">
        <f t="shared" si="35"/>
        <v>0</v>
      </c>
      <c r="W563" t="str">
        <f>IFERROR(MID(Проливка[[#This Row],[Штрихкод ]],1,FIND("-",Проливка[[#This Row],[Штрихкод ]],1)-1)," ")</f>
        <v xml:space="preserve"> </v>
      </c>
      <c r="X563" t="str">
        <f>IFERROR(RIGHT(Проливка[[#This Row],[Штрихкод ]],LEN(Проливка[[#This Row],[Штрихкод ]])-SEARCH("-",Проливка[[#This Row],[Штрихкод ]],1))," ")</f>
        <v xml:space="preserve"> </v>
      </c>
      <c r="Y563">
        <f>IFERROR(VLOOKUP(Проливка[[#This Row],[ID]]*1,'Срок хранения'!A563:B661,2,0),0)</f>
        <v>0</v>
      </c>
      <c r="Z563">
        <f>IFERROR(VLOOKUP(Проливка[[#This Row],[ID]]*1,'Срок хранения'!A563:C661,3,0),0)</f>
        <v>0</v>
      </c>
    </row>
    <row r="564" spans="1:26" x14ac:dyDescent="0.25">
      <c r="A564" s="9"/>
      <c r="B564" s="12" t="str">
        <f t="shared" si="33"/>
        <v xml:space="preserve"> </v>
      </c>
      <c r="C564" s="10" t="str">
        <f t="shared" si="32"/>
        <v xml:space="preserve"> </v>
      </c>
      <c r="D564" s="10">
        <f t="shared" si="34"/>
        <v>0</v>
      </c>
      <c r="E564" s="10">
        <f t="shared" si="35"/>
        <v>0</v>
      </c>
      <c r="W564" t="str">
        <f>IFERROR(MID(Проливка[[#This Row],[Штрихкод ]],1,FIND("-",Проливка[[#This Row],[Штрихкод ]],1)-1)," ")</f>
        <v xml:space="preserve"> </v>
      </c>
      <c r="X564" t="str">
        <f>IFERROR(RIGHT(Проливка[[#This Row],[Штрихкод ]],LEN(Проливка[[#This Row],[Штрихкод ]])-SEARCH("-",Проливка[[#This Row],[Штрихкод ]],1))," ")</f>
        <v xml:space="preserve"> </v>
      </c>
      <c r="Y564">
        <f>IFERROR(VLOOKUP(Проливка[[#This Row],[ID]]*1,'Срок хранения'!A564:B662,2,0),0)</f>
        <v>0</v>
      </c>
      <c r="Z564">
        <f>IFERROR(VLOOKUP(Проливка[[#This Row],[ID]]*1,'Срок хранения'!A564:C662,3,0),0)</f>
        <v>0</v>
      </c>
    </row>
    <row r="565" spans="1:26" x14ac:dyDescent="0.25">
      <c r="A565" s="9"/>
      <c r="B565" s="12" t="str">
        <f t="shared" si="33"/>
        <v xml:space="preserve"> </v>
      </c>
      <c r="C565" s="10" t="str">
        <f t="shared" si="32"/>
        <v xml:space="preserve"> </v>
      </c>
      <c r="D565" s="10">
        <f t="shared" si="34"/>
        <v>0</v>
      </c>
      <c r="E565" s="10">
        <f t="shared" si="35"/>
        <v>0</v>
      </c>
      <c r="W565" t="str">
        <f>IFERROR(MID(Проливка[[#This Row],[Штрихкод ]],1,FIND("-",Проливка[[#This Row],[Штрихкод ]],1)-1)," ")</f>
        <v xml:space="preserve"> </v>
      </c>
      <c r="X565" t="str">
        <f>IFERROR(RIGHT(Проливка[[#This Row],[Штрихкод ]],LEN(Проливка[[#This Row],[Штрихкод ]])-SEARCH("-",Проливка[[#This Row],[Штрихкод ]],1))," ")</f>
        <v xml:space="preserve"> </v>
      </c>
      <c r="Y565">
        <f>IFERROR(VLOOKUP(Проливка[[#This Row],[ID]]*1,'Срок хранения'!A565:B663,2,0),0)</f>
        <v>0</v>
      </c>
      <c r="Z565">
        <f>IFERROR(VLOOKUP(Проливка[[#This Row],[ID]]*1,'Срок хранения'!A565:C663,3,0),0)</f>
        <v>0</v>
      </c>
    </row>
    <row r="566" spans="1:26" x14ac:dyDescent="0.25">
      <c r="A566" s="9"/>
      <c r="B566" s="12" t="str">
        <f t="shared" si="33"/>
        <v xml:space="preserve"> </v>
      </c>
      <c r="C566" s="10" t="str">
        <f t="shared" si="32"/>
        <v xml:space="preserve"> </v>
      </c>
      <c r="D566" s="10">
        <f t="shared" si="34"/>
        <v>0</v>
      </c>
      <c r="E566" s="10">
        <f t="shared" si="35"/>
        <v>0</v>
      </c>
      <c r="W566" t="str">
        <f>IFERROR(MID(Проливка[[#This Row],[Штрихкод ]],1,FIND("-",Проливка[[#This Row],[Штрихкод ]],1)-1)," ")</f>
        <v xml:space="preserve"> </v>
      </c>
      <c r="X566" t="str">
        <f>IFERROR(RIGHT(Проливка[[#This Row],[Штрихкод ]],LEN(Проливка[[#This Row],[Штрихкод ]])-SEARCH("-",Проливка[[#This Row],[Штрихкод ]],1))," ")</f>
        <v xml:space="preserve"> </v>
      </c>
      <c r="Y566">
        <f>IFERROR(VLOOKUP(Проливка[[#This Row],[ID]]*1,'Срок хранения'!A566:B664,2,0),0)</f>
        <v>0</v>
      </c>
      <c r="Z566">
        <f>IFERROR(VLOOKUP(Проливка[[#This Row],[ID]]*1,'Срок хранения'!A566:C664,3,0),0)</f>
        <v>0</v>
      </c>
    </row>
    <row r="567" spans="1:26" x14ac:dyDescent="0.25">
      <c r="A567" s="9"/>
      <c r="B567" s="12" t="str">
        <f t="shared" si="33"/>
        <v xml:space="preserve"> </v>
      </c>
      <c r="C567" s="10" t="str">
        <f t="shared" si="32"/>
        <v xml:space="preserve"> </v>
      </c>
      <c r="D567" s="10">
        <f t="shared" si="34"/>
        <v>0</v>
      </c>
      <c r="E567" s="10">
        <f t="shared" si="35"/>
        <v>0</v>
      </c>
      <c r="W567" t="str">
        <f>IFERROR(MID(Проливка[[#This Row],[Штрихкод ]],1,FIND("-",Проливка[[#This Row],[Штрихкод ]],1)-1)," ")</f>
        <v xml:space="preserve"> </v>
      </c>
      <c r="X567" t="str">
        <f>IFERROR(RIGHT(Проливка[[#This Row],[Штрихкод ]],LEN(Проливка[[#This Row],[Штрихкод ]])-SEARCH("-",Проливка[[#This Row],[Штрихкод ]],1))," ")</f>
        <v xml:space="preserve"> </v>
      </c>
      <c r="Y567">
        <f>IFERROR(VLOOKUP(Проливка[[#This Row],[ID]]*1,'Срок хранения'!A567:B665,2,0),0)</f>
        <v>0</v>
      </c>
      <c r="Z567">
        <f>IFERROR(VLOOKUP(Проливка[[#This Row],[ID]]*1,'Срок хранения'!A567:C665,3,0),0)</f>
        <v>0</v>
      </c>
    </row>
    <row r="568" spans="1:26" x14ac:dyDescent="0.25">
      <c r="A568" s="9"/>
      <c r="B568" s="12" t="str">
        <f t="shared" si="33"/>
        <v xml:space="preserve"> </v>
      </c>
      <c r="C568" s="10" t="str">
        <f t="shared" si="32"/>
        <v xml:space="preserve"> </v>
      </c>
      <c r="D568" s="10">
        <f t="shared" si="34"/>
        <v>0</v>
      </c>
      <c r="E568" s="10">
        <f t="shared" si="35"/>
        <v>0</v>
      </c>
      <c r="W568" t="str">
        <f>IFERROR(MID(Проливка[[#This Row],[Штрихкод ]],1,FIND("-",Проливка[[#This Row],[Штрихкод ]],1)-1)," ")</f>
        <v xml:space="preserve"> </v>
      </c>
      <c r="X568" t="str">
        <f>IFERROR(RIGHT(Проливка[[#This Row],[Штрихкод ]],LEN(Проливка[[#This Row],[Штрихкод ]])-SEARCH("-",Проливка[[#This Row],[Штрихкод ]],1))," ")</f>
        <v xml:space="preserve"> </v>
      </c>
      <c r="Y568">
        <f>IFERROR(VLOOKUP(Проливка[[#This Row],[ID]]*1,'Срок хранения'!A568:B666,2,0),0)</f>
        <v>0</v>
      </c>
      <c r="Z568">
        <f>IFERROR(VLOOKUP(Проливка[[#This Row],[ID]]*1,'Срок хранения'!A568:C666,3,0),0)</f>
        <v>0</v>
      </c>
    </row>
    <row r="569" spans="1:26" x14ac:dyDescent="0.25">
      <c r="A569" s="9"/>
      <c r="B569" s="12" t="str">
        <f t="shared" si="33"/>
        <v xml:space="preserve"> </v>
      </c>
      <c r="C569" s="10" t="str">
        <f t="shared" si="32"/>
        <v xml:space="preserve"> </v>
      </c>
      <c r="D569" s="10">
        <f t="shared" si="34"/>
        <v>0</v>
      </c>
      <c r="E569" s="10">
        <f t="shared" si="35"/>
        <v>0</v>
      </c>
      <c r="W569" t="str">
        <f>IFERROR(MID(Проливка[[#This Row],[Штрихкод ]],1,FIND("-",Проливка[[#This Row],[Штрихкод ]],1)-1)," ")</f>
        <v xml:space="preserve"> </v>
      </c>
      <c r="X569" t="str">
        <f>IFERROR(RIGHT(Проливка[[#This Row],[Штрихкод ]],LEN(Проливка[[#This Row],[Штрихкод ]])-SEARCH("-",Проливка[[#This Row],[Штрихкод ]],1))," ")</f>
        <v xml:space="preserve"> </v>
      </c>
      <c r="Y569">
        <f>IFERROR(VLOOKUP(Проливка[[#This Row],[ID]]*1,'Срок хранения'!A569:B667,2,0),0)</f>
        <v>0</v>
      </c>
      <c r="Z569">
        <f>IFERROR(VLOOKUP(Проливка[[#This Row],[ID]]*1,'Срок хранения'!A569:C667,3,0),0)</f>
        <v>0</v>
      </c>
    </row>
    <row r="570" spans="1:26" x14ac:dyDescent="0.25">
      <c r="A570" s="9"/>
      <c r="B570" s="12" t="str">
        <f t="shared" si="33"/>
        <v xml:space="preserve"> </v>
      </c>
      <c r="C570" s="10" t="str">
        <f t="shared" si="32"/>
        <v xml:space="preserve"> </v>
      </c>
      <c r="D570" s="10">
        <f t="shared" si="34"/>
        <v>0</v>
      </c>
      <c r="E570" s="10">
        <f t="shared" si="35"/>
        <v>0</v>
      </c>
      <c r="W570" t="str">
        <f>IFERROR(MID(Проливка[[#This Row],[Штрихкод ]],1,FIND("-",Проливка[[#This Row],[Штрихкод ]],1)-1)," ")</f>
        <v xml:space="preserve"> </v>
      </c>
      <c r="X570" t="str">
        <f>IFERROR(RIGHT(Проливка[[#This Row],[Штрихкод ]],LEN(Проливка[[#This Row],[Штрихкод ]])-SEARCH("-",Проливка[[#This Row],[Штрихкод ]],1))," ")</f>
        <v xml:space="preserve"> </v>
      </c>
      <c r="Y570">
        <f>IFERROR(VLOOKUP(Проливка[[#This Row],[ID]]*1,'Срок хранения'!A570:B668,2,0),0)</f>
        <v>0</v>
      </c>
      <c r="Z570">
        <f>IFERROR(VLOOKUP(Проливка[[#This Row],[ID]]*1,'Срок хранения'!A570:C668,3,0),0)</f>
        <v>0</v>
      </c>
    </row>
    <row r="571" spans="1:26" x14ac:dyDescent="0.25">
      <c r="A571" s="9"/>
      <c r="B571" s="12" t="str">
        <f t="shared" si="33"/>
        <v xml:space="preserve"> </v>
      </c>
      <c r="C571" s="10" t="str">
        <f t="shared" si="32"/>
        <v xml:space="preserve"> </v>
      </c>
      <c r="D571" s="10">
        <f t="shared" si="34"/>
        <v>0</v>
      </c>
      <c r="E571" s="10">
        <f t="shared" si="35"/>
        <v>0</v>
      </c>
      <c r="W571" t="str">
        <f>IFERROR(MID(Проливка[[#This Row],[Штрихкод ]],1,FIND("-",Проливка[[#This Row],[Штрихкод ]],1)-1)," ")</f>
        <v xml:space="preserve"> </v>
      </c>
      <c r="X571" t="str">
        <f>IFERROR(RIGHT(Проливка[[#This Row],[Штрихкод ]],LEN(Проливка[[#This Row],[Штрихкод ]])-SEARCH("-",Проливка[[#This Row],[Штрихкод ]],1))," ")</f>
        <v xml:space="preserve"> </v>
      </c>
      <c r="Y571">
        <f>IFERROR(VLOOKUP(Проливка[[#This Row],[ID]]*1,'Срок хранения'!A571:B669,2,0),0)</f>
        <v>0</v>
      </c>
      <c r="Z571">
        <f>IFERROR(VLOOKUP(Проливка[[#This Row],[ID]]*1,'Срок хранения'!A571:C669,3,0),0)</f>
        <v>0</v>
      </c>
    </row>
    <row r="572" spans="1:26" x14ac:dyDescent="0.25">
      <c r="A572" s="9"/>
      <c r="B572" s="12" t="str">
        <f t="shared" si="33"/>
        <v xml:space="preserve"> </v>
      </c>
      <c r="C572" s="10" t="str">
        <f t="shared" si="32"/>
        <v xml:space="preserve"> </v>
      </c>
      <c r="D572" s="10">
        <f t="shared" si="34"/>
        <v>0</v>
      </c>
      <c r="E572" s="10">
        <f t="shared" si="35"/>
        <v>0</v>
      </c>
      <c r="W572" t="str">
        <f>IFERROR(MID(Проливка[[#This Row],[Штрихкод ]],1,FIND("-",Проливка[[#This Row],[Штрихкод ]],1)-1)," ")</f>
        <v xml:space="preserve"> </v>
      </c>
      <c r="X572" t="str">
        <f>IFERROR(RIGHT(Проливка[[#This Row],[Штрихкод ]],LEN(Проливка[[#This Row],[Штрихкод ]])-SEARCH("-",Проливка[[#This Row],[Штрихкод ]],1))," ")</f>
        <v xml:space="preserve"> </v>
      </c>
      <c r="Y572">
        <f>IFERROR(VLOOKUP(Проливка[[#This Row],[ID]]*1,'Срок хранения'!A572:B670,2,0),0)</f>
        <v>0</v>
      </c>
      <c r="Z572">
        <f>IFERROR(VLOOKUP(Проливка[[#This Row],[ID]]*1,'Срок хранения'!A572:C670,3,0),0)</f>
        <v>0</v>
      </c>
    </row>
    <row r="573" spans="1:26" x14ac:dyDescent="0.25">
      <c r="A573" s="9"/>
      <c r="B573" s="12" t="str">
        <f t="shared" si="33"/>
        <v xml:space="preserve"> </v>
      </c>
      <c r="C573" s="10" t="str">
        <f t="shared" si="32"/>
        <v xml:space="preserve"> </v>
      </c>
      <c r="D573" s="10">
        <f t="shared" si="34"/>
        <v>0</v>
      </c>
      <c r="E573" s="10">
        <f t="shared" si="35"/>
        <v>0</v>
      </c>
      <c r="W573" t="str">
        <f>IFERROR(MID(Проливка[[#This Row],[Штрихкод ]],1,FIND("-",Проливка[[#This Row],[Штрихкод ]],1)-1)," ")</f>
        <v xml:space="preserve"> </v>
      </c>
      <c r="X573" t="str">
        <f>IFERROR(RIGHT(Проливка[[#This Row],[Штрихкод ]],LEN(Проливка[[#This Row],[Штрихкод ]])-SEARCH("-",Проливка[[#This Row],[Штрихкод ]],1))," ")</f>
        <v xml:space="preserve"> </v>
      </c>
      <c r="Y573">
        <f>IFERROR(VLOOKUP(Проливка[[#This Row],[ID]]*1,'Срок хранения'!A573:B671,2,0),0)</f>
        <v>0</v>
      </c>
      <c r="Z573">
        <f>IFERROR(VLOOKUP(Проливка[[#This Row],[ID]]*1,'Срок хранения'!A573:C671,3,0),0)</f>
        <v>0</v>
      </c>
    </row>
    <row r="574" spans="1:26" x14ac:dyDescent="0.25">
      <c r="A574" s="9"/>
      <c r="B574" s="12" t="str">
        <f t="shared" si="33"/>
        <v xml:space="preserve"> </v>
      </c>
      <c r="C574" s="10" t="str">
        <f t="shared" si="32"/>
        <v xml:space="preserve"> </v>
      </c>
      <c r="D574" s="10">
        <f t="shared" si="34"/>
        <v>0</v>
      </c>
      <c r="E574" s="10">
        <f t="shared" si="35"/>
        <v>0</v>
      </c>
      <c r="W574" t="str">
        <f>IFERROR(MID(Проливка[[#This Row],[Штрихкод ]],1,FIND("-",Проливка[[#This Row],[Штрихкод ]],1)-1)," ")</f>
        <v xml:space="preserve"> </v>
      </c>
      <c r="X574" t="str">
        <f>IFERROR(RIGHT(Проливка[[#This Row],[Штрихкод ]],LEN(Проливка[[#This Row],[Штрихкод ]])-SEARCH("-",Проливка[[#This Row],[Штрихкод ]],1))," ")</f>
        <v xml:space="preserve"> </v>
      </c>
      <c r="Y574">
        <f>IFERROR(VLOOKUP(Проливка[[#This Row],[ID]]*1,'Срок хранения'!A574:B672,2,0),0)</f>
        <v>0</v>
      </c>
      <c r="Z574">
        <f>IFERROR(VLOOKUP(Проливка[[#This Row],[ID]]*1,'Срок хранения'!A574:C672,3,0),0)</f>
        <v>0</v>
      </c>
    </row>
    <row r="575" spans="1:26" x14ac:dyDescent="0.25">
      <c r="A575" s="9"/>
      <c r="B575" s="12" t="str">
        <f t="shared" si="33"/>
        <v xml:space="preserve"> </v>
      </c>
      <c r="C575" s="10" t="str">
        <f t="shared" si="32"/>
        <v xml:space="preserve"> </v>
      </c>
      <c r="D575" s="10">
        <f t="shared" si="34"/>
        <v>0</v>
      </c>
      <c r="E575" s="10">
        <f t="shared" si="35"/>
        <v>0</v>
      </c>
      <c r="W575" t="str">
        <f>IFERROR(MID(Проливка[[#This Row],[Штрихкод ]],1,FIND("-",Проливка[[#This Row],[Штрихкод ]],1)-1)," ")</f>
        <v xml:space="preserve"> </v>
      </c>
      <c r="X575" t="str">
        <f>IFERROR(RIGHT(Проливка[[#This Row],[Штрихкод ]],LEN(Проливка[[#This Row],[Штрихкод ]])-SEARCH("-",Проливка[[#This Row],[Штрихкод ]],1))," ")</f>
        <v xml:space="preserve"> </v>
      </c>
      <c r="Y575">
        <f>IFERROR(VLOOKUP(Проливка[[#This Row],[ID]]*1,'Срок хранения'!A575:B673,2,0),0)</f>
        <v>0</v>
      </c>
      <c r="Z575">
        <f>IFERROR(VLOOKUP(Проливка[[#This Row],[ID]]*1,'Срок хранения'!A575:C673,3,0),0)</f>
        <v>0</v>
      </c>
    </row>
    <row r="576" spans="1:26" x14ac:dyDescent="0.25">
      <c r="A576" s="9"/>
      <c r="B576" s="12" t="str">
        <f t="shared" si="33"/>
        <v xml:space="preserve"> </v>
      </c>
      <c r="C576" s="10" t="str">
        <f t="shared" si="32"/>
        <v xml:space="preserve"> </v>
      </c>
      <c r="D576" s="10">
        <f t="shared" si="34"/>
        <v>0</v>
      </c>
      <c r="E576" s="10">
        <f t="shared" si="35"/>
        <v>0</v>
      </c>
      <c r="W576" t="str">
        <f>IFERROR(MID(Проливка[[#This Row],[Штрихкод ]],1,FIND("-",Проливка[[#This Row],[Штрихкод ]],1)-1)," ")</f>
        <v xml:space="preserve"> </v>
      </c>
      <c r="X576" t="str">
        <f>IFERROR(RIGHT(Проливка[[#This Row],[Штрихкод ]],LEN(Проливка[[#This Row],[Штрихкод ]])-SEARCH("-",Проливка[[#This Row],[Штрихкод ]],1))," ")</f>
        <v xml:space="preserve"> </v>
      </c>
      <c r="Y576">
        <f>IFERROR(VLOOKUP(Проливка[[#This Row],[ID]]*1,'Срок хранения'!A576:B674,2,0),0)</f>
        <v>0</v>
      </c>
      <c r="Z576">
        <f>IFERROR(VLOOKUP(Проливка[[#This Row],[ID]]*1,'Срок хранения'!A576:C674,3,0),0)</f>
        <v>0</v>
      </c>
    </row>
    <row r="577" spans="1:26" x14ac:dyDescent="0.25">
      <c r="A577" s="9"/>
      <c r="B577" s="12" t="str">
        <f t="shared" si="33"/>
        <v xml:space="preserve"> </v>
      </c>
      <c r="C577" s="10" t="str">
        <f t="shared" si="32"/>
        <v xml:space="preserve"> </v>
      </c>
      <c r="D577" s="10">
        <f t="shared" si="34"/>
        <v>0</v>
      </c>
      <c r="E577" s="10">
        <f t="shared" si="35"/>
        <v>0</v>
      </c>
      <c r="W577" t="str">
        <f>IFERROR(MID(Проливка[[#This Row],[Штрихкод ]],1,FIND("-",Проливка[[#This Row],[Штрихкод ]],1)-1)," ")</f>
        <v xml:space="preserve"> </v>
      </c>
      <c r="X577" t="str">
        <f>IFERROR(RIGHT(Проливка[[#This Row],[Штрихкод ]],LEN(Проливка[[#This Row],[Штрихкод ]])-SEARCH("-",Проливка[[#This Row],[Штрихкод ]],1))," ")</f>
        <v xml:space="preserve"> </v>
      </c>
      <c r="Y577">
        <f>IFERROR(VLOOKUP(Проливка[[#This Row],[ID]]*1,'Срок хранения'!A577:B675,2,0),0)</f>
        <v>0</v>
      </c>
      <c r="Z577">
        <f>IFERROR(VLOOKUP(Проливка[[#This Row],[ID]]*1,'Срок хранения'!A577:C675,3,0),0)</f>
        <v>0</v>
      </c>
    </row>
    <row r="578" spans="1:26" x14ac:dyDescent="0.25">
      <c r="A578" s="9"/>
      <c r="B578" s="12" t="str">
        <f t="shared" si="33"/>
        <v xml:space="preserve"> </v>
      </c>
      <c r="C578" s="10" t="str">
        <f t="shared" ref="C578:C641" si="36">X578</f>
        <v xml:space="preserve"> </v>
      </c>
      <c r="D578" s="10">
        <f t="shared" si="34"/>
        <v>0</v>
      </c>
      <c r="E578" s="10">
        <f t="shared" si="35"/>
        <v>0</v>
      </c>
      <c r="W578" t="str">
        <f>IFERROR(MID(Проливка[[#This Row],[Штрихкод ]],1,FIND("-",Проливка[[#This Row],[Штрихкод ]],1)-1)," ")</f>
        <v xml:space="preserve"> </v>
      </c>
      <c r="X578" t="str">
        <f>IFERROR(RIGHT(Проливка[[#This Row],[Штрихкод ]],LEN(Проливка[[#This Row],[Штрихкод ]])-SEARCH("-",Проливка[[#This Row],[Штрихкод ]],1))," ")</f>
        <v xml:space="preserve"> </v>
      </c>
      <c r="Y578">
        <f>IFERROR(VLOOKUP(Проливка[[#This Row],[ID]]*1,'Срок хранения'!A578:B676,2,0),0)</f>
        <v>0</v>
      </c>
      <c r="Z578">
        <f>IFERROR(VLOOKUP(Проливка[[#This Row],[ID]]*1,'Срок хранения'!A578:C676,3,0),0)</f>
        <v>0</v>
      </c>
    </row>
    <row r="579" spans="1:26" x14ac:dyDescent="0.25">
      <c r="A579" s="9"/>
      <c r="B579" s="12" t="str">
        <f t="shared" ref="B579:B642" si="37">W579</f>
        <v xml:space="preserve"> </v>
      </c>
      <c r="C579" s="10" t="str">
        <f t="shared" si="36"/>
        <v xml:space="preserve"> </v>
      </c>
      <c r="D579" s="10">
        <f t="shared" ref="D579:D642" si="38">Y579</f>
        <v>0</v>
      </c>
      <c r="E579" s="10">
        <f t="shared" ref="E579:E642" si="39">Z579</f>
        <v>0</v>
      </c>
      <c r="W579" t="str">
        <f>IFERROR(MID(Проливка[[#This Row],[Штрихкод ]],1,FIND("-",Проливка[[#This Row],[Штрихкод ]],1)-1)," ")</f>
        <v xml:space="preserve"> </v>
      </c>
      <c r="X579" t="str">
        <f>IFERROR(RIGHT(Проливка[[#This Row],[Штрихкод ]],LEN(Проливка[[#This Row],[Штрихкод ]])-SEARCH("-",Проливка[[#This Row],[Штрихкод ]],1))," ")</f>
        <v xml:space="preserve"> </v>
      </c>
      <c r="Y579">
        <f>IFERROR(VLOOKUP(Проливка[[#This Row],[ID]]*1,'Срок хранения'!A579:B677,2,0),0)</f>
        <v>0</v>
      </c>
      <c r="Z579">
        <f>IFERROR(VLOOKUP(Проливка[[#This Row],[ID]]*1,'Срок хранения'!A579:C677,3,0),0)</f>
        <v>0</v>
      </c>
    </row>
    <row r="580" spans="1:26" x14ac:dyDescent="0.25">
      <c r="A580" s="9"/>
      <c r="B580" s="12" t="str">
        <f t="shared" si="37"/>
        <v xml:space="preserve"> </v>
      </c>
      <c r="C580" s="10" t="str">
        <f t="shared" si="36"/>
        <v xml:space="preserve"> </v>
      </c>
      <c r="D580" s="10">
        <f t="shared" si="38"/>
        <v>0</v>
      </c>
      <c r="E580" s="10">
        <f t="shared" si="39"/>
        <v>0</v>
      </c>
      <c r="W580" t="str">
        <f>IFERROR(MID(Проливка[[#This Row],[Штрихкод ]],1,FIND("-",Проливка[[#This Row],[Штрихкод ]],1)-1)," ")</f>
        <v xml:space="preserve"> </v>
      </c>
      <c r="X580" t="str">
        <f>IFERROR(RIGHT(Проливка[[#This Row],[Штрихкод ]],LEN(Проливка[[#This Row],[Штрихкод ]])-SEARCH("-",Проливка[[#This Row],[Штрихкод ]],1))," ")</f>
        <v xml:space="preserve"> </v>
      </c>
      <c r="Y580">
        <f>IFERROR(VLOOKUP(Проливка[[#This Row],[ID]]*1,'Срок хранения'!A580:B678,2,0),0)</f>
        <v>0</v>
      </c>
      <c r="Z580">
        <f>IFERROR(VLOOKUP(Проливка[[#This Row],[ID]]*1,'Срок хранения'!A580:C678,3,0),0)</f>
        <v>0</v>
      </c>
    </row>
    <row r="581" spans="1:26" x14ac:dyDescent="0.25">
      <c r="A581" s="9"/>
      <c r="B581" s="12" t="str">
        <f t="shared" si="37"/>
        <v xml:space="preserve"> </v>
      </c>
      <c r="C581" s="10" t="str">
        <f t="shared" si="36"/>
        <v xml:space="preserve"> </v>
      </c>
      <c r="D581" s="10">
        <f t="shared" si="38"/>
        <v>0</v>
      </c>
      <c r="E581" s="10">
        <f t="shared" si="39"/>
        <v>0</v>
      </c>
      <c r="W581" t="str">
        <f>IFERROR(MID(Проливка[[#This Row],[Штрихкод ]],1,FIND("-",Проливка[[#This Row],[Штрихкод ]],1)-1)," ")</f>
        <v xml:space="preserve"> </v>
      </c>
      <c r="X581" t="str">
        <f>IFERROR(RIGHT(Проливка[[#This Row],[Штрихкод ]],LEN(Проливка[[#This Row],[Штрихкод ]])-SEARCH("-",Проливка[[#This Row],[Штрихкод ]],1))," ")</f>
        <v xml:space="preserve"> </v>
      </c>
      <c r="Y581">
        <f>IFERROR(VLOOKUP(Проливка[[#This Row],[ID]]*1,'Срок хранения'!A581:B679,2,0),0)</f>
        <v>0</v>
      </c>
      <c r="Z581">
        <f>IFERROR(VLOOKUP(Проливка[[#This Row],[ID]]*1,'Срок хранения'!A581:C679,3,0),0)</f>
        <v>0</v>
      </c>
    </row>
    <row r="582" spans="1:26" x14ac:dyDescent="0.25">
      <c r="A582" s="9"/>
      <c r="B582" s="12" t="str">
        <f t="shared" si="37"/>
        <v xml:space="preserve"> </v>
      </c>
      <c r="C582" s="10" t="str">
        <f t="shared" si="36"/>
        <v xml:space="preserve"> </v>
      </c>
      <c r="D582" s="10">
        <f t="shared" si="38"/>
        <v>0</v>
      </c>
      <c r="E582" s="10">
        <f t="shared" si="39"/>
        <v>0</v>
      </c>
      <c r="W582" t="str">
        <f>IFERROR(MID(Проливка[[#This Row],[Штрихкод ]],1,FIND("-",Проливка[[#This Row],[Штрихкод ]],1)-1)," ")</f>
        <v xml:space="preserve"> </v>
      </c>
      <c r="X582" t="str">
        <f>IFERROR(RIGHT(Проливка[[#This Row],[Штрихкод ]],LEN(Проливка[[#This Row],[Штрихкод ]])-SEARCH("-",Проливка[[#This Row],[Штрихкод ]],1))," ")</f>
        <v xml:space="preserve"> </v>
      </c>
      <c r="Y582">
        <f>IFERROR(VLOOKUP(Проливка[[#This Row],[ID]]*1,'Срок хранения'!A582:B680,2,0),0)</f>
        <v>0</v>
      </c>
      <c r="Z582">
        <f>IFERROR(VLOOKUP(Проливка[[#This Row],[ID]]*1,'Срок хранения'!A582:C680,3,0),0)</f>
        <v>0</v>
      </c>
    </row>
    <row r="583" spans="1:26" x14ac:dyDescent="0.25">
      <c r="A583" s="9"/>
      <c r="B583" s="12" t="str">
        <f t="shared" si="37"/>
        <v xml:space="preserve"> </v>
      </c>
      <c r="C583" s="10" t="str">
        <f t="shared" si="36"/>
        <v xml:space="preserve"> </v>
      </c>
      <c r="D583" s="10">
        <f t="shared" si="38"/>
        <v>0</v>
      </c>
      <c r="E583" s="10">
        <f t="shared" si="39"/>
        <v>0</v>
      </c>
      <c r="W583" t="str">
        <f>IFERROR(MID(Проливка[[#This Row],[Штрихкод ]],1,FIND("-",Проливка[[#This Row],[Штрихкод ]],1)-1)," ")</f>
        <v xml:space="preserve"> </v>
      </c>
      <c r="X583" t="str">
        <f>IFERROR(RIGHT(Проливка[[#This Row],[Штрихкод ]],LEN(Проливка[[#This Row],[Штрихкод ]])-SEARCH("-",Проливка[[#This Row],[Штрихкод ]],1))," ")</f>
        <v xml:space="preserve"> </v>
      </c>
      <c r="Y583">
        <f>IFERROR(VLOOKUP(Проливка[[#This Row],[ID]]*1,'Срок хранения'!A583:B681,2,0),0)</f>
        <v>0</v>
      </c>
      <c r="Z583">
        <f>IFERROR(VLOOKUP(Проливка[[#This Row],[ID]]*1,'Срок хранения'!A583:C681,3,0),0)</f>
        <v>0</v>
      </c>
    </row>
    <row r="584" spans="1:26" x14ac:dyDescent="0.25">
      <c r="A584" s="9"/>
      <c r="B584" s="12" t="str">
        <f t="shared" si="37"/>
        <v xml:space="preserve"> </v>
      </c>
      <c r="C584" s="10" t="str">
        <f t="shared" si="36"/>
        <v xml:space="preserve"> </v>
      </c>
      <c r="D584" s="10">
        <f t="shared" si="38"/>
        <v>0</v>
      </c>
      <c r="E584" s="10">
        <f t="shared" si="39"/>
        <v>0</v>
      </c>
      <c r="W584" t="str">
        <f>IFERROR(MID(Проливка[[#This Row],[Штрихкод ]],1,FIND("-",Проливка[[#This Row],[Штрихкод ]],1)-1)," ")</f>
        <v xml:space="preserve"> </v>
      </c>
      <c r="X584" t="str">
        <f>IFERROR(RIGHT(Проливка[[#This Row],[Штрихкод ]],LEN(Проливка[[#This Row],[Штрихкод ]])-SEARCH("-",Проливка[[#This Row],[Штрихкод ]],1))," ")</f>
        <v xml:space="preserve"> </v>
      </c>
      <c r="Y584">
        <f>IFERROR(VLOOKUP(Проливка[[#This Row],[ID]]*1,'Срок хранения'!A584:B682,2,0),0)</f>
        <v>0</v>
      </c>
      <c r="Z584">
        <f>IFERROR(VLOOKUP(Проливка[[#This Row],[ID]]*1,'Срок хранения'!A584:C682,3,0),0)</f>
        <v>0</v>
      </c>
    </row>
    <row r="585" spans="1:26" x14ac:dyDescent="0.25">
      <c r="A585" s="9"/>
      <c r="B585" s="12" t="str">
        <f t="shared" si="37"/>
        <v xml:space="preserve"> </v>
      </c>
      <c r="C585" s="10" t="str">
        <f t="shared" si="36"/>
        <v xml:space="preserve"> </v>
      </c>
      <c r="D585" s="10">
        <f t="shared" si="38"/>
        <v>0</v>
      </c>
      <c r="E585" s="10">
        <f t="shared" si="39"/>
        <v>0</v>
      </c>
      <c r="W585" t="str">
        <f>IFERROR(MID(Проливка[[#This Row],[Штрихкод ]],1,FIND("-",Проливка[[#This Row],[Штрихкод ]],1)-1)," ")</f>
        <v xml:space="preserve"> </v>
      </c>
      <c r="X585" t="str">
        <f>IFERROR(RIGHT(Проливка[[#This Row],[Штрихкод ]],LEN(Проливка[[#This Row],[Штрихкод ]])-SEARCH("-",Проливка[[#This Row],[Штрихкод ]],1))," ")</f>
        <v xml:space="preserve"> </v>
      </c>
      <c r="Y585">
        <f>IFERROR(VLOOKUP(Проливка[[#This Row],[ID]]*1,'Срок хранения'!A585:B683,2,0),0)</f>
        <v>0</v>
      </c>
      <c r="Z585">
        <f>IFERROR(VLOOKUP(Проливка[[#This Row],[ID]]*1,'Срок хранения'!A585:C683,3,0),0)</f>
        <v>0</v>
      </c>
    </row>
    <row r="586" spans="1:26" x14ac:dyDescent="0.25">
      <c r="A586" s="9"/>
      <c r="B586" s="12" t="str">
        <f t="shared" si="37"/>
        <v xml:space="preserve"> </v>
      </c>
      <c r="C586" s="10" t="str">
        <f t="shared" si="36"/>
        <v xml:space="preserve"> </v>
      </c>
      <c r="D586" s="10">
        <f t="shared" si="38"/>
        <v>0</v>
      </c>
      <c r="E586" s="10">
        <f t="shared" si="39"/>
        <v>0</v>
      </c>
      <c r="W586" t="str">
        <f>IFERROR(MID(Проливка[[#This Row],[Штрихкод ]],1,FIND("-",Проливка[[#This Row],[Штрихкод ]],1)-1)," ")</f>
        <v xml:space="preserve"> </v>
      </c>
      <c r="X586" t="str">
        <f>IFERROR(RIGHT(Проливка[[#This Row],[Штрихкод ]],LEN(Проливка[[#This Row],[Штрихкод ]])-SEARCH("-",Проливка[[#This Row],[Штрихкод ]],1))," ")</f>
        <v xml:space="preserve"> </v>
      </c>
      <c r="Y586">
        <f>IFERROR(VLOOKUP(Проливка[[#This Row],[ID]]*1,'Срок хранения'!A586:B684,2,0),0)</f>
        <v>0</v>
      </c>
      <c r="Z586">
        <f>IFERROR(VLOOKUP(Проливка[[#This Row],[ID]]*1,'Срок хранения'!A586:C684,3,0),0)</f>
        <v>0</v>
      </c>
    </row>
    <row r="587" spans="1:26" x14ac:dyDescent="0.25">
      <c r="A587" s="9"/>
      <c r="B587" s="12" t="str">
        <f t="shared" si="37"/>
        <v xml:space="preserve"> </v>
      </c>
      <c r="C587" s="10" t="str">
        <f t="shared" si="36"/>
        <v xml:space="preserve"> </v>
      </c>
      <c r="D587" s="10">
        <f t="shared" si="38"/>
        <v>0</v>
      </c>
      <c r="E587" s="10">
        <f t="shared" si="39"/>
        <v>0</v>
      </c>
      <c r="W587" t="str">
        <f>IFERROR(MID(Проливка[[#This Row],[Штрихкод ]],1,FIND("-",Проливка[[#This Row],[Штрихкод ]],1)-1)," ")</f>
        <v xml:space="preserve"> </v>
      </c>
      <c r="X587" t="str">
        <f>IFERROR(RIGHT(Проливка[[#This Row],[Штрихкод ]],LEN(Проливка[[#This Row],[Штрихкод ]])-SEARCH("-",Проливка[[#This Row],[Штрихкод ]],1))," ")</f>
        <v xml:space="preserve"> </v>
      </c>
      <c r="Y587">
        <f>IFERROR(VLOOKUP(Проливка[[#This Row],[ID]]*1,'Срок хранения'!A587:B685,2,0),0)</f>
        <v>0</v>
      </c>
      <c r="Z587">
        <f>IFERROR(VLOOKUP(Проливка[[#This Row],[ID]]*1,'Срок хранения'!A587:C685,3,0),0)</f>
        <v>0</v>
      </c>
    </row>
    <row r="588" spans="1:26" x14ac:dyDescent="0.25">
      <c r="A588" s="9"/>
      <c r="B588" s="12" t="str">
        <f t="shared" si="37"/>
        <v xml:space="preserve"> </v>
      </c>
      <c r="C588" s="10" t="str">
        <f t="shared" si="36"/>
        <v xml:space="preserve"> </v>
      </c>
      <c r="D588" s="10">
        <f t="shared" si="38"/>
        <v>0</v>
      </c>
      <c r="E588" s="10">
        <f t="shared" si="39"/>
        <v>0</v>
      </c>
      <c r="W588" t="str">
        <f>IFERROR(MID(Проливка[[#This Row],[Штрихкод ]],1,FIND("-",Проливка[[#This Row],[Штрихкод ]],1)-1)," ")</f>
        <v xml:space="preserve"> </v>
      </c>
      <c r="X588" t="str">
        <f>IFERROR(RIGHT(Проливка[[#This Row],[Штрихкод ]],LEN(Проливка[[#This Row],[Штрихкод ]])-SEARCH("-",Проливка[[#This Row],[Штрихкод ]],1))," ")</f>
        <v xml:space="preserve"> </v>
      </c>
      <c r="Y588">
        <f>IFERROR(VLOOKUP(Проливка[[#This Row],[ID]]*1,'Срок хранения'!A588:B686,2,0),0)</f>
        <v>0</v>
      </c>
      <c r="Z588">
        <f>IFERROR(VLOOKUP(Проливка[[#This Row],[ID]]*1,'Срок хранения'!A588:C686,3,0),0)</f>
        <v>0</v>
      </c>
    </row>
    <row r="589" spans="1:26" x14ac:dyDescent="0.25">
      <c r="A589" s="9"/>
      <c r="B589" s="12" t="str">
        <f t="shared" si="37"/>
        <v xml:space="preserve"> </v>
      </c>
      <c r="C589" s="10" t="str">
        <f t="shared" si="36"/>
        <v xml:space="preserve"> </v>
      </c>
      <c r="D589" s="10">
        <f t="shared" si="38"/>
        <v>0</v>
      </c>
      <c r="E589" s="10">
        <f t="shared" si="39"/>
        <v>0</v>
      </c>
      <c r="W589" t="str">
        <f>IFERROR(MID(Проливка[[#This Row],[Штрихкод ]],1,FIND("-",Проливка[[#This Row],[Штрихкод ]],1)-1)," ")</f>
        <v xml:space="preserve"> </v>
      </c>
      <c r="X589" t="str">
        <f>IFERROR(RIGHT(Проливка[[#This Row],[Штрихкод ]],LEN(Проливка[[#This Row],[Штрихкод ]])-SEARCH("-",Проливка[[#This Row],[Штрихкод ]],1))," ")</f>
        <v xml:space="preserve"> </v>
      </c>
      <c r="Y589">
        <f>IFERROR(VLOOKUP(Проливка[[#This Row],[ID]]*1,'Срок хранения'!A589:B687,2,0),0)</f>
        <v>0</v>
      </c>
      <c r="Z589">
        <f>IFERROR(VLOOKUP(Проливка[[#This Row],[ID]]*1,'Срок хранения'!A589:C687,3,0),0)</f>
        <v>0</v>
      </c>
    </row>
    <row r="590" spans="1:26" x14ac:dyDescent="0.25">
      <c r="A590" s="9"/>
      <c r="B590" s="12" t="str">
        <f t="shared" si="37"/>
        <v xml:space="preserve"> </v>
      </c>
      <c r="C590" s="10" t="str">
        <f t="shared" si="36"/>
        <v xml:space="preserve"> </v>
      </c>
      <c r="D590" s="10">
        <f t="shared" si="38"/>
        <v>0</v>
      </c>
      <c r="E590" s="10">
        <f t="shared" si="39"/>
        <v>0</v>
      </c>
      <c r="W590" t="str">
        <f>IFERROR(MID(Проливка[[#This Row],[Штрихкод ]],1,FIND("-",Проливка[[#This Row],[Штрихкод ]],1)-1)," ")</f>
        <v xml:space="preserve"> </v>
      </c>
      <c r="X590" t="str">
        <f>IFERROR(RIGHT(Проливка[[#This Row],[Штрихкод ]],LEN(Проливка[[#This Row],[Штрихкод ]])-SEARCH("-",Проливка[[#This Row],[Штрихкод ]],1))," ")</f>
        <v xml:space="preserve"> </v>
      </c>
      <c r="Y590">
        <f>IFERROR(VLOOKUP(Проливка[[#This Row],[ID]]*1,'Срок хранения'!A590:B688,2,0),0)</f>
        <v>0</v>
      </c>
      <c r="Z590">
        <f>IFERROR(VLOOKUP(Проливка[[#This Row],[ID]]*1,'Срок хранения'!A590:C688,3,0),0)</f>
        <v>0</v>
      </c>
    </row>
    <row r="591" spans="1:26" x14ac:dyDescent="0.25">
      <c r="A591" s="9"/>
      <c r="B591" s="12" t="str">
        <f t="shared" si="37"/>
        <v xml:space="preserve"> </v>
      </c>
      <c r="C591" s="10" t="str">
        <f t="shared" si="36"/>
        <v xml:space="preserve"> </v>
      </c>
      <c r="D591" s="10">
        <f t="shared" si="38"/>
        <v>0</v>
      </c>
      <c r="E591" s="10">
        <f t="shared" si="39"/>
        <v>0</v>
      </c>
      <c r="W591" t="str">
        <f>IFERROR(MID(Проливка[[#This Row],[Штрихкод ]],1,FIND("-",Проливка[[#This Row],[Штрихкод ]],1)-1)," ")</f>
        <v xml:space="preserve"> </v>
      </c>
      <c r="X591" t="str">
        <f>IFERROR(RIGHT(Проливка[[#This Row],[Штрихкод ]],LEN(Проливка[[#This Row],[Штрихкод ]])-SEARCH("-",Проливка[[#This Row],[Штрихкод ]],1))," ")</f>
        <v xml:space="preserve"> </v>
      </c>
      <c r="Y591">
        <f>IFERROR(VLOOKUP(Проливка[[#This Row],[ID]]*1,'Срок хранения'!A591:B689,2,0),0)</f>
        <v>0</v>
      </c>
      <c r="Z591">
        <f>IFERROR(VLOOKUP(Проливка[[#This Row],[ID]]*1,'Срок хранения'!A591:C689,3,0),0)</f>
        <v>0</v>
      </c>
    </row>
    <row r="592" spans="1:26" x14ac:dyDescent="0.25">
      <c r="A592" s="9"/>
      <c r="B592" s="12" t="str">
        <f t="shared" si="37"/>
        <v xml:space="preserve"> </v>
      </c>
      <c r="C592" s="10" t="str">
        <f t="shared" si="36"/>
        <v xml:space="preserve"> </v>
      </c>
      <c r="D592" s="10">
        <f t="shared" si="38"/>
        <v>0</v>
      </c>
      <c r="E592" s="10">
        <f t="shared" si="39"/>
        <v>0</v>
      </c>
      <c r="W592" t="str">
        <f>IFERROR(MID(Проливка[[#This Row],[Штрихкод ]],1,FIND("-",Проливка[[#This Row],[Штрихкод ]],1)-1)," ")</f>
        <v xml:space="preserve"> </v>
      </c>
      <c r="X592" t="str">
        <f>IFERROR(RIGHT(Проливка[[#This Row],[Штрихкод ]],LEN(Проливка[[#This Row],[Штрихкод ]])-SEARCH("-",Проливка[[#This Row],[Штрихкод ]],1))," ")</f>
        <v xml:space="preserve"> </v>
      </c>
      <c r="Y592">
        <f>IFERROR(VLOOKUP(Проливка[[#This Row],[ID]]*1,'Срок хранения'!A592:B690,2,0),0)</f>
        <v>0</v>
      </c>
      <c r="Z592">
        <f>IFERROR(VLOOKUP(Проливка[[#This Row],[ID]]*1,'Срок хранения'!A592:C690,3,0),0)</f>
        <v>0</v>
      </c>
    </row>
    <row r="593" spans="1:26" x14ac:dyDescent="0.25">
      <c r="A593" s="9"/>
      <c r="B593" s="12" t="str">
        <f t="shared" si="37"/>
        <v xml:space="preserve"> </v>
      </c>
      <c r="C593" s="10" t="str">
        <f t="shared" si="36"/>
        <v xml:space="preserve"> </v>
      </c>
      <c r="D593" s="10">
        <f t="shared" si="38"/>
        <v>0</v>
      </c>
      <c r="E593" s="10">
        <f t="shared" si="39"/>
        <v>0</v>
      </c>
      <c r="W593" t="str">
        <f>IFERROR(MID(Проливка[[#This Row],[Штрихкод ]],1,FIND("-",Проливка[[#This Row],[Штрихкод ]],1)-1)," ")</f>
        <v xml:space="preserve"> </v>
      </c>
      <c r="X593" t="str">
        <f>IFERROR(RIGHT(Проливка[[#This Row],[Штрихкод ]],LEN(Проливка[[#This Row],[Штрихкод ]])-SEARCH("-",Проливка[[#This Row],[Штрихкод ]],1))," ")</f>
        <v xml:space="preserve"> </v>
      </c>
      <c r="Y593">
        <f>IFERROR(VLOOKUP(Проливка[[#This Row],[ID]]*1,'Срок хранения'!A593:B691,2,0),0)</f>
        <v>0</v>
      </c>
      <c r="Z593">
        <f>IFERROR(VLOOKUP(Проливка[[#This Row],[ID]]*1,'Срок хранения'!A593:C691,3,0),0)</f>
        <v>0</v>
      </c>
    </row>
    <row r="594" spans="1:26" x14ac:dyDescent="0.25">
      <c r="A594" s="9"/>
      <c r="B594" s="12" t="str">
        <f t="shared" si="37"/>
        <v xml:space="preserve"> </v>
      </c>
      <c r="C594" s="10" t="str">
        <f t="shared" si="36"/>
        <v xml:space="preserve"> </v>
      </c>
      <c r="D594" s="10">
        <f t="shared" si="38"/>
        <v>0</v>
      </c>
      <c r="E594" s="10">
        <f t="shared" si="39"/>
        <v>0</v>
      </c>
      <c r="W594" t="str">
        <f>IFERROR(MID(Проливка[[#This Row],[Штрихкод ]],1,FIND("-",Проливка[[#This Row],[Штрихкод ]],1)-1)," ")</f>
        <v xml:space="preserve"> </v>
      </c>
      <c r="X594" t="str">
        <f>IFERROR(RIGHT(Проливка[[#This Row],[Штрихкод ]],LEN(Проливка[[#This Row],[Штрихкод ]])-SEARCH("-",Проливка[[#This Row],[Штрихкод ]],1))," ")</f>
        <v xml:space="preserve"> </v>
      </c>
      <c r="Y594">
        <f>IFERROR(VLOOKUP(Проливка[[#This Row],[ID]]*1,'Срок хранения'!A594:B692,2,0),0)</f>
        <v>0</v>
      </c>
      <c r="Z594">
        <f>IFERROR(VLOOKUP(Проливка[[#This Row],[ID]]*1,'Срок хранения'!A594:C692,3,0),0)</f>
        <v>0</v>
      </c>
    </row>
    <row r="595" spans="1:26" x14ac:dyDescent="0.25">
      <c r="A595" s="9"/>
      <c r="B595" s="12" t="str">
        <f t="shared" si="37"/>
        <v xml:space="preserve"> </v>
      </c>
      <c r="C595" s="10" t="str">
        <f t="shared" si="36"/>
        <v xml:space="preserve"> </v>
      </c>
      <c r="D595" s="10">
        <f t="shared" si="38"/>
        <v>0</v>
      </c>
      <c r="E595" s="10">
        <f t="shared" si="39"/>
        <v>0</v>
      </c>
      <c r="W595" t="str">
        <f>IFERROR(MID(Проливка[[#This Row],[Штрихкод ]],1,FIND("-",Проливка[[#This Row],[Штрихкод ]],1)-1)," ")</f>
        <v xml:space="preserve"> </v>
      </c>
      <c r="X595" t="str">
        <f>IFERROR(RIGHT(Проливка[[#This Row],[Штрихкод ]],LEN(Проливка[[#This Row],[Штрихкод ]])-SEARCH("-",Проливка[[#This Row],[Штрихкод ]],1))," ")</f>
        <v xml:space="preserve"> </v>
      </c>
      <c r="Y595">
        <f>IFERROR(VLOOKUP(Проливка[[#This Row],[ID]]*1,'Срок хранения'!A595:B693,2,0),0)</f>
        <v>0</v>
      </c>
      <c r="Z595">
        <f>IFERROR(VLOOKUP(Проливка[[#This Row],[ID]]*1,'Срок хранения'!A595:C693,3,0),0)</f>
        <v>0</v>
      </c>
    </row>
    <row r="596" spans="1:26" x14ac:dyDescent="0.25">
      <c r="A596" s="9"/>
      <c r="B596" s="12" t="str">
        <f t="shared" si="37"/>
        <v xml:space="preserve"> </v>
      </c>
      <c r="C596" s="10" t="str">
        <f t="shared" si="36"/>
        <v xml:space="preserve"> </v>
      </c>
      <c r="D596" s="10">
        <f t="shared" si="38"/>
        <v>0</v>
      </c>
      <c r="E596" s="10">
        <f t="shared" si="39"/>
        <v>0</v>
      </c>
      <c r="W596" t="str">
        <f>IFERROR(MID(Проливка[[#This Row],[Штрихкод ]],1,FIND("-",Проливка[[#This Row],[Штрихкод ]],1)-1)," ")</f>
        <v xml:space="preserve"> </v>
      </c>
      <c r="X596" t="str">
        <f>IFERROR(RIGHT(Проливка[[#This Row],[Штрихкод ]],LEN(Проливка[[#This Row],[Штрихкод ]])-SEARCH("-",Проливка[[#This Row],[Штрихкод ]],1))," ")</f>
        <v xml:space="preserve"> </v>
      </c>
      <c r="Y596">
        <f>IFERROR(VLOOKUP(Проливка[[#This Row],[ID]]*1,'Срок хранения'!A596:B694,2,0),0)</f>
        <v>0</v>
      </c>
      <c r="Z596">
        <f>IFERROR(VLOOKUP(Проливка[[#This Row],[ID]]*1,'Срок хранения'!A596:C694,3,0),0)</f>
        <v>0</v>
      </c>
    </row>
    <row r="597" spans="1:26" x14ac:dyDescent="0.25">
      <c r="A597" s="9"/>
      <c r="B597" s="12" t="str">
        <f t="shared" si="37"/>
        <v xml:space="preserve"> </v>
      </c>
      <c r="C597" s="10" t="str">
        <f t="shared" si="36"/>
        <v xml:space="preserve"> </v>
      </c>
      <c r="D597" s="10">
        <f t="shared" si="38"/>
        <v>0</v>
      </c>
      <c r="E597" s="10">
        <f t="shared" si="39"/>
        <v>0</v>
      </c>
      <c r="W597" t="str">
        <f>IFERROR(MID(Проливка[[#This Row],[Штрихкод ]],1,FIND("-",Проливка[[#This Row],[Штрихкод ]],1)-1)," ")</f>
        <v xml:space="preserve"> </v>
      </c>
      <c r="X597" t="str">
        <f>IFERROR(RIGHT(Проливка[[#This Row],[Штрихкод ]],LEN(Проливка[[#This Row],[Штрихкод ]])-SEARCH("-",Проливка[[#This Row],[Штрихкод ]],1))," ")</f>
        <v xml:space="preserve"> </v>
      </c>
      <c r="Y597">
        <f>IFERROR(VLOOKUP(Проливка[[#This Row],[ID]]*1,'Срок хранения'!A597:B695,2,0),0)</f>
        <v>0</v>
      </c>
      <c r="Z597">
        <f>IFERROR(VLOOKUP(Проливка[[#This Row],[ID]]*1,'Срок хранения'!A597:C695,3,0),0)</f>
        <v>0</v>
      </c>
    </row>
    <row r="598" spans="1:26" x14ac:dyDescent="0.25">
      <c r="A598" s="9"/>
      <c r="B598" s="12" t="str">
        <f t="shared" si="37"/>
        <v xml:space="preserve"> </v>
      </c>
      <c r="C598" s="10" t="str">
        <f t="shared" si="36"/>
        <v xml:space="preserve"> </v>
      </c>
      <c r="D598" s="10">
        <f t="shared" si="38"/>
        <v>0</v>
      </c>
      <c r="E598" s="10">
        <f t="shared" si="39"/>
        <v>0</v>
      </c>
      <c r="W598" t="str">
        <f>IFERROR(MID(Проливка[[#This Row],[Штрихкод ]],1,FIND("-",Проливка[[#This Row],[Штрихкод ]],1)-1)," ")</f>
        <v xml:space="preserve"> </v>
      </c>
      <c r="X598" t="str">
        <f>IFERROR(RIGHT(Проливка[[#This Row],[Штрихкод ]],LEN(Проливка[[#This Row],[Штрихкод ]])-SEARCH("-",Проливка[[#This Row],[Штрихкод ]],1))," ")</f>
        <v xml:space="preserve"> </v>
      </c>
      <c r="Y598">
        <f>IFERROR(VLOOKUP(Проливка[[#This Row],[ID]]*1,'Срок хранения'!A598:B696,2,0),0)</f>
        <v>0</v>
      </c>
      <c r="Z598">
        <f>IFERROR(VLOOKUP(Проливка[[#This Row],[ID]]*1,'Срок хранения'!A598:C696,3,0),0)</f>
        <v>0</v>
      </c>
    </row>
    <row r="599" spans="1:26" x14ac:dyDescent="0.25">
      <c r="A599" s="9"/>
      <c r="B599" s="12" t="str">
        <f t="shared" si="37"/>
        <v xml:space="preserve"> </v>
      </c>
      <c r="C599" s="10" t="str">
        <f t="shared" si="36"/>
        <v xml:space="preserve"> </v>
      </c>
      <c r="D599" s="10">
        <f t="shared" si="38"/>
        <v>0</v>
      </c>
      <c r="E599" s="10">
        <f t="shared" si="39"/>
        <v>0</v>
      </c>
      <c r="W599" t="str">
        <f>IFERROR(MID(Проливка[[#This Row],[Штрихкод ]],1,FIND("-",Проливка[[#This Row],[Штрихкод ]],1)-1)," ")</f>
        <v xml:space="preserve"> </v>
      </c>
      <c r="X599" t="str">
        <f>IFERROR(RIGHT(Проливка[[#This Row],[Штрихкод ]],LEN(Проливка[[#This Row],[Штрихкод ]])-SEARCH("-",Проливка[[#This Row],[Штрихкод ]],1))," ")</f>
        <v xml:space="preserve"> </v>
      </c>
      <c r="Y599">
        <f>IFERROR(VLOOKUP(Проливка[[#This Row],[ID]]*1,'Срок хранения'!A599:B697,2,0),0)</f>
        <v>0</v>
      </c>
      <c r="Z599">
        <f>IFERROR(VLOOKUP(Проливка[[#This Row],[ID]]*1,'Срок хранения'!A599:C697,3,0),0)</f>
        <v>0</v>
      </c>
    </row>
    <row r="600" spans="1:26" x14ac:dyDescent="0.25">
      <c r="A600" s="9"/>
      <c r="B600" s="12" t="str">
        <f t="shared" si="37"/>
        <v xml:space="preserve"> </v>
      </c>
      <c r="C600" s="10" t="str">
        <f t="shared" si="36"/>
        <v xml:space="preserve"> </v>
      </c>
      <c r="D600" s="10">
        <f t="shared" si="38"/>
        <v>0</v>
      </c>
      <c r="E600" s="10">
        <f t="shared" si="39"/>
        <v>0</v>
      </c>
      <c r="W600" t="str">
        <f>IFERROR(MID(Проливка[[#This Row],[Штрихкод ]],1,FIND("-",Проливка[[#This Row],[Штрихкод ]],1)-1)," ")</f>
        <v xml:space="preserve"> </v>
      </c>
      <c r="X600" t="str">
        <f>IFERROR(RIGHT(Проливка[[#This Row],[Штрихкод ]],LEN(Проливка[[#This Row],[Штрихкод ]])-SEARCH("-",Проливка[[#This Row],[Штрихкод ]],1))," ")</f>
        <v xml:space="preserve"> </v>
      </c>
      <c r="Y600">
        <f>IFERROR(VLOOKUP(Проливка[[#This Row],[ID]]*1,'Срок хранения'!A600:B698,2,0),0)</f>
        <v>0</v>
      </c>
      <c r="Z600">
        <f>IFERROR(VLOOKUP(Проливка[[#This Row],[ID]]*1,'Срок хранения'!A600:C698,3,0),0)</f>
        <v>0</v>
      </c>
    </row>
    <row r="601" spans="1:26" x14ac:dyDescent="0.25">
      <c r="A601" s="9"/>
      <c r="B601" s="12" t="str">
        <f t="shared" si="37"/>
        <v xml:space="preserve"> </v>
      </c>
      <c r="C601" s="10" t="str">
        <f t="shared" si="36"/>
        <v xml:space="preserve"> </v>
      </c>
      <c r="D601" s="10">
        <f t="shared" si="38"/>
        <v>0</v>
      </c>
      <c r="E601" s="10">
        <f t="shared" si="39"/>
        <v>0</v>
      </c>
      <c r="W601" t="str">
        <f>IFERROR(MID(Проливка[[#This Row],[Штрихкод ]],1,FIND("-",Проливка[[#This Row],[Штрихкод ]],1)-1)," ")</f>
        <v xml:space="preserve"> </v>
      </c>
      <c r="X601" t="str">
        <f>IFERROR(RIGHT(Проливка[[#This Row],[Штрихкод ]],LEN(Проливка[[#This Row],[Штрихкод ]])-SEARCH("-",Проливка[[#This Row],[Штрихкод ]],1))," ")</f>
        <v xml:space="preserve"> </v>
      </c>
      <c r="Y601">
        <f>IFERROR(VLOOKUP(Проливка[[#This Row],[ID]]*1,'Срок хранения'!A601:B699,2,0),0)</f>
        <v>0</v>
      </c>
      <c r="Z601">
        <f>IFERROR(VLOOKUP(Проливка[[#This Row],[ID]]*1,'Срок хранения'!A601:C699,3,0),0)</f>
        <v>0</v>
      </c>
    </row>
    <row r="602" spans="1:26" x14ac:dyDescent="0.25">
      <c r="A602" s="9"/>
      <c r="B602" s="12" t="str">
        <f t="shared" si="37"/>
        <v xml:space="preserve"> </v>
      </c>
      <c r="C602" s="10" t="str">
        <f t="shared" si="36"/>
        <v xml:space="preserve"> </v>
      </c>
      <c r="D602" s="10">
        <f t="shared" si="38"/>
        <v>0</v>
      </c>
      <c r="E602" s="10">
        <f t="shared" si="39"/>
        <v>0</v>
      </c>
      <c r="W602" t="str">
        <f>IFERROR(MID(Проливка[[#This Row],[Штрихкод ]],1,FIND("-",Проливка[[#This Row],[Штрихкод ]],1)-1)," ")</f>
        <v xml:space="preserve"> </v>
      </c>
      <c r="X602" t="str">
        <f>IFERROR(RIGHT(Проливка[[#This Row],[Штрихкод ]],LEN(Проливка[[#This Row],[Штрихкод ]])-SEARCH("-",Проливка[[#This Row],[Штрихкод ]],1))," ")</f>
        <v xml:space="preserve"> </v>
      </c>
      <c r="Y602">
        <f>IFERROR(VLOOKUP(Проливка[[#This Row],[ID]]*1,'Срок хранения'!A602:B700,2,0),0)</f>
        <v>0</v>
      </c>
      <c r="Z602">
        <f>IFERROR(VLOOKUP(Проливка[[#This Row],[ID]]*1,'Срок хранения'!A602:C700,3,0),0)</f>
        <v>0</v>
      </c>
    </row>
    <row r="603" spans="1:26" x14ac:dyDescent="0.25">
      <c r="A603" s="9"/>
      <c r="B603" s="12" t="str">
        <f t="shared" si="37"/>
        <v xml:space="preserve"> </v>
      </c>
      <c r="C603" s="10" t="str">
        <f t="shared" si="36"/>
        <v xml:space="preserve"> </v>
      </c>
      <c r="D603" s="10">
        <f t="shared" si="38"/>
        <v>0</v>
      </c>
      <c r="E603" s="10">
        <f t="shared" si="39"/>
        <v>0</v>
      </c>
      <c r="W603" t="str">
        <f>IFERROR(MID(Проливка[[#This Row],[Штрихкод ]],1,FIND("-",Проливка[[#This Row],[Штрихкод ]],1)-1)," ")</f>
        <v xml:space="preserve"> </v>
      </c>
      <c r="X603" t="str">
        <f>IFERROR(RIGHT(Проливка[[#This Row],[Штрихкод ]],LEN(Проливка[[#This Row],[Штрихкод ]])-SEARCH("-",Проливка[[#This Row],[Штрихкод ]],1))," ")</f>
        <v xml:space="preserve"> </v>
      </c>
      <c r="Y603">
        <f>IFERROR(VLOOKUP(Проливка[[#This Row],[ID]]*1,'Срок хранения'!A603:B701,2,0),0)</f>
        <v>0</v>
      </c>
      <c r="Z603">
        <f>IFERROR(VLOOKUP(Проливка[[#This Row],[ID]]*1,'Срок хранения'!A603:C701,3,0),0)</f>
        <v>0</v>
      </c>
    </row>
    <row r="604" spans="1:26" x14ac:dyDescent="0.25">
      <c r="A604" s="9"/>
      <c r="B604" s="12" t="str">
        <f t="shared" si="37"/>
        <v xml:space="preserve"> </v>
      </c>
      <c r="C604" s="10" t="str">
        <f t="shared" si="36"/>
        <v xml:space="preserve"> </v>
      </c>
      <c r="D604" s="10">
        <f t="shared" si="38"/>
        <v>0</v>
      </c>
      <c r="E604" s="10">
        <f t="shared" si="39"/>
        <v>0</v>
      </c>
      <c r="W604" t="str">
        <f>IFERROR(MID(Проливка[[#This Row],[Штрихкод ]],1,FIND("-",Проливка[[#This Row],[Штрихкод ]],1)-1)," ")</f>
        <v xml:space="preserve"> </v>
      </c>
      <c r="X604" t="str">
        <f>IFERROR(RIGHT(Проливка[[#This Row],[Штрихкод ]],LEN(Проливка[[#This Row],[Штрихкод ]])-SEARCH("-",Проливка[[#This Row],[Штрихкод ]],1))," ")</f>
        <v xml:space="preserve"> </v>
      </c>
      <c r="Y604">
        <f>IFERROR(VLOOKUP(Проливка[[#This Row],[ID]]*1,'Срок хранения'!A604:B702,2,0),0)</f>
        <v>0</v>
      </c>
      <c r="Z604">
        <f>IFERROR(VLOOKUP(Проливка[[#This Row],[ID]]*1,'Срок хранения'!A604:C702,3,0),0)</f>
        <v>0</v>
      </c>
    </row>
    <row r="605" spans="1:26" x14ac:dyDescent="0.25">
      <c r="A605" s="9"/>
      <c r="B605" s="12" t="str">
        <f t="shared" si="37"/>
        <v xml:space="preserve"> </v>
      </c>
      <c r="C605" s="10" t="str">
        <f t="shared" si="36"/>
        <v xml:space="preserve"> </v>
      </c>
      <c r="D605" s="10">
        <f t="shared" si="38"/>
        <v>0</v>
      </c>
      <c r="E605" s="10">
        <f t="shared" si="39"/>
        <v>0</v>
      </c>
      <c r="W605" t="str">
        <f>IFERROR(MID(Проливка[[#This Row],[Штрихкод ]],1,FIND("-",Проливка[[#This Row],[Штрихкод ]],1)-1)," ")</f>
        <v xml:space="preserve"> </v>
      </c>
      <c r="X605" t="str">
        <f>IFERROR(RIGHT(Проливка[[#This Row],[Штрихкод ]],LEN(Проливка[[#This Row],[Штрихкод ]])-SEARCH("-",Проливка[[#This Row],[Штрихкод ]],1))," ")</f>
        <v xml:space="preserve"> </v>
      </c>
      <c r="Y605">
        <f>IFERROR(VLOOKUP(Проливка[[#This Row],[ID]]*1,'Срок хранения'!A605:B703,2,0),0)</f>
        <v>0</v>
      </c>
      <c r="Z605">
        <f>IFERROR(VLOOKUP(Проливка[[#This Row],[ID]]*1,'Срок хранения'!A605:C703,3,0),0)</f>
        <v>0</v>
      </c>
    </row>
    <row r="606" spans="1:26" x14ac:dyDescent="0.25">
      <c r="A606" s="9"/>
      <c r="B606" s="12" t="str">
        <f t="shared" si="37"/>
        <v xml:space="preserve"> </v>
      </c>
      <c r="C606" s="10" t="str">
        <f t="shared" si="36"/>
        <v xml:space="preserve"> </v>
      </c>
      <c r="D606" s="10">
        <f t="shared" si="38"/>
        <v>0</v>
      </c>
      <c r="E606" s="10">
        <f t="shared" si="39"/>
        <v>0</v>
      </c>
      <c r="W606" t="str">
        <f>IFERROR(MID(Проливка[[#This Row],[Штрихкод ]],1,FIND("-",Проливка[[#This Row],[Штрихкод ]],1)-1)," ")</f>
        <v xml:space="preserve"> </v>
      </c>
      <c r="X606" t="str">
        <f>IFERROR(RIGHT(Проливка[[#This Row],[Штрихкод ]],LEN(Проливка[[#This Row],[Штрихкод ]])-SEARCH("-",Проливка[[#This Row],[Штрихкод ]],1))," ")</f>
        <v xml:space="preserve"> </v>
      </c>
      <c r="Y606">
        <f>IFERROR(VLOOKUP(Проливка[[#This Row],[ID]]*1,'Срок хранения'!A606:B704,2,0),0)</f>
        <v>0</v>
      </c>
      <c r="Z606">
        <f>IFERROR(VLOOKUP(Проливка[[#This Row],[ID]]*1,'Срок хранения'!A606:C704,3,0),0)</f>
        <v>0</v>
      </c>
    </row>
    <row r="607" spans="1:26" x14ac:dyDescent="0.25">
      <c r="A607" s="9"/>
      <c r="B607" s="12" t="str">
        <f t="shared" si="37"/>
        <v xml:space="preserve"> </v>
      </c>
      <c r="C607" s="10" t="str">
        <f t="shared" si="36"/>
        <v xml:space="preserve"> </v>
      </c>
      <c r="D607" s="10">
        <f t="shared" si="38"/>
        <v>0</v>
      </c>
      <c r="E607" s="10">
        <f t="shared" si="39"/>
        <v>0</v>
      </c>
      <c r="W607" t="str">
        <f>IFERROR(MID(Проливка[[#This Row],[Штрихкод ]],1,FIND("-",Проливка[[#This Row],[Штрихкод ]],1)-1)," ")</f>
        <v xml:space="preserve"> </v>
      </c>
      <c r="X607" t="str">
        <f>IFERROR(RIGHT(Проливка[[#This Row],[Штрихкод ]],LEN(Проливка[[#This Row],[Штрихкод ]])-SEARCH("-",Проливка[[#This Row],[Штрихкод ]],1))," ")</f>
        <v xml:space="preserve"> </v>
      </c>
      <c r="Y607">
        <f>IFERROR(VLOOKUP(Проливка[[#This Row],[ID]]*1,'Срок хранения'!A607:B705,2,0),0)</f>
        <v>0</v>
      </c>
      <c r="Z607">
        <f>IFERROR(VLOOKUP(Проливка[[#This Row],[ID]]*1,'Срок хранения'!A607:C705,3,0),0)</f>
        <v>0</v>
      </c>
    </row>
    <row r="608" spans="1:26" x14ac:dyDescent="0.25">
      <c r="A608" s="9"/>
      <c r="B608" s="12" t="str">
        <f t="shared" si="37"/>
        <v xml:space="preserve"> </v>
      </c>
      <c r="C608" s="10" t="str">
        <f t="shared" si="36"/>
        <v xml:space="preserve"> </v>
      </c>
      <c r="D608" s="10">
        <f t="shared" si="38"/>
        <v>0</v>
      </c>
      <c r="E608" s="10">
        <f t="shared" si="39"/>
        <v>0</v>
      </c>
      <c r="W608" t="str">
        <f>IFERROR(MID(Проливка[[#This Row],[Штрихкод ]],1,FIND("-",Проливка[[#This Row],[Штрихкод ]],1)-1)," ")</f>
        <v xml:space="preserve"> </v>
      </c>
      <c r="X608" t="str">
        <f>IFERROR(RIGHT(Проливка[[#This Row],[Штрихкод ]],LEN(Проливка[[#This Row],[Штрихкод ]])-SEARCH("-",Проливка[[#This Row],[Штрихкод ]],1))," ")</f>
        <v xml:space="preserve"> </v>
      </c>
      <c r="Y608">
        <f>IFERROR(VLOOKUP(Проливка[[#This Row],[ID]]*1,'Срок хранения'!A608:B706,2,0),0)</f>
        <v>0</v>
      </c>
      <c r="Z608">
        <f>IFERROR(VLOOKUP(Проливка[[#This Row],[ID]]*1,'Срок хранения'!A608:C706,3,0),0)</f>
        <v>0</v>
      </c>
    </row>
    <row r="609" spans="1:26" x14ac:dyDescent="0.25">
      <c r="A609" s="9"/>
      <c r="B609" s="12" t="str">
        <f t="shared" si="37"/>
        <v xml:space="preserve"> </v>
      </c>
      <c r="C609" s="10" t="str">
        <f t="shared" si="36"/>
        <v xml:space="preserve"> </v>
      </c>
      <c r="D609" s="10">
        <f t="shared" si="38"/>
        <v>0</v>
      </c>
      <c r="E609" s="10">
        <f t="shared" si="39"/>
        <v>0</v>
      </c>
      <c r="W609" t="str">
        <f>IFERROR(MID(Проливка[[#This Row],[Штрихкод ]],1,FIND("-",Проливка[[#This Row],[Штрихкод ]],1)-1)," ")</f>
        <v xml:space="preserve"> </v>
      </c>
      <c r="X609" t="str">
        <f>IFERROR(RIGHT(Проливка[[#This Row],[Штрихкод ]],LEN(Проливка[[#This Row],[Штрихкод ]])-SEARCH("-",Проливка[[#This Row],[Штрихкод ]],1))," ")</f>
        <v xml:space="preserve"> </v>
      </c>
      <c r="Y609">
        <f>IFERROR(VLOOKUP(Проливка[[#This Row],[ID]]*1,'Срок хранения'!A609:B707,2,0),0)</f>
        <v>0</v>
      </c>
      <c r="Z609">
        <f>IFERROR(VLOOKUP(Проливка[[#This Row],[ID]]*1,'Срок хранения'!A609:C707,3,0),0)</f>
        <v>0</v>
      </c>
    </row>
    <row r="610" spans="1:26" x14ac:dyDescent="0.25">
      <c r="A610" s="9"/>
      <c r="B610" s="12" t="str">
        <f t="shared" si="37"/>
        <v xml:space="preserve"> </v>
      </c>
      <c r="C610" s="10" t="str">
        <f t="shared" si="36"/>
        <v xml:space="preserve"> </v>
      </c>
      <c r="D610" s="10">
        <f t="shared" si="38"/>
        <v>0</v>
      </c>
      <c r="E610" s="10">
        <f t="shared" si="39"/>
        <v>0</v>
      </c>
      <c r="W610" t="str">
        <f>IFERROR(MID(Проливка[[#This Row],[Штрихкод ]],1,FIND("-",Проливка[[#This Row],[Штрихкод ]],1)-1)," ")</f>
        <v xml:space="preserve"> </v>
      </c>
      <c r="X610" t="str">
        <f>IFERROR(RIGHT(Проливка[[#This Row],[Штрихкод ]],LEN(Проливка[[#This Row],[Штрихкод ]])-SEARCH("-",Проливка[[#This Row],[Штрихкод ]],1))," ")</f>
        <v xml:space="preserve"> </v>
      </c>
      <c r="Y610">
        <f>IFERROR(VLOOKUP(Проливка[[#This Row],[ID]]*1,'Срок хранения'!A610:B708,2,0),0)</f>
        <v>0</v>
      </c>
      <c r="Z610">
        <f>IFERROR(VLOOKUP(Проливка[[#This Row],[ID]]*1,'Срок хранения'!A610:C708,3,0),0)</f>
        <v>0</v>
      </c>
    </row>
    <row r="611" spans="1:26" x14ac:dyDescent="0.25">
      <c r="A611" s="9"/>
      <c r="B611" s="12" t="str">
        <f t="shared" si="37"/>
        <v xml:space="preserve"> </v>
      </c>
      <c r="C611" s="10" t="str">
        <f t="shared" si="36"/>
        <v xml:space="preserve"> </v>
      </c>
      <c r="D611" s="10">
        <f t="shared" si="38"/>
        <v>0</v>
      </c>
      <c r="E611" s="10">
        <f t="shared" si="39"/>
        <v>0</v>
      </c>
      <c r="W611" t="str">
        <f>IFERROR(MID(Проливка[[#This Row],[Штрихкод ]],1,FIND("-",Проливка[[#This Row],[Штрихкод ]],1)-1)," ")</f>
        <v xml:space="preserve"> </v>
      </c>
      <c r="X611" t="str">
        <f>IFERROR(RIGHT(Проливка[[#This Row],[Штрихкод ]],LEN(Проливка[[#This Row],[Штрихкод ]])-SEARCH("-",Проливка[[#This Row],[Штрихкод ]],1))," ")</f>
        <v xml:space="preserve"> </v>
      </c>
      <c r="Y611">
        <f>IFERROR(VLOOKUP(Проливка[[#This Row],[ID]]*1,'Срок хранения'!A611:B709,2,0),0)</f>
        <v>0</v>
      </c>
      <c r="Z611">
        <f>IFERROR(VLOOKUP(Проливка[[#This Row],[ID]]*1,'Срок хранения'!A611:C709,3,0),0)</f>
        <v>0</v>
      </c>
    </row>
    <row r="612" spans="1:26" x14ac:dyDescent="0.25">
      <c r="A612" s="9"/>
      <c r="B612" s="12" t="str">
        <f t="shared" si="37"/>
        <v xml:space="preserve"> </v>
      </c>
      <c r="C612" s="10" t="str">
        <f t="shared" si="36"/>
        <v xml:space="preserve"> </v>
      </c>
      <c r="D612" s="10">
        <f t="shared" si="38"/>
        <v>0</v>
      </c>
      <c r="E612" s="10">
        <f t="shared" si="39"/>
        <v>0</v>
      </c>
      <c r="W612" t="str">
        <f>IFERROR(MID(Проливка[[#This Row],[Штрихкод ]],1,FIND("-",Проливка[[#This Row],[Штрихкод ]],1)-1)," ")</f>
        <v xml:space="preserve"> </v>
      </c>
      <c r="X612" t="str">
        <f>IFERROR(RIGHT(Проливка[[#This Row],[Штрихкод ]],LEN(Проливка[[#This Row],[Штрихкод ]])-SEARCH("-",Проливка[[#This Row],[Штрихкод ]],1))," ")</f>
        <v xml:space="preserve"> </v>
      </c>
      <c r="Y612">
        <f>IFERROR(VLOOKUP(Проливка[[#This Row],[ID]]*1,'Срок хранения'!A612:B710,2,0),0)</f>
        <v>0</v>
      </c>
      <c r="Z612">
        <f>IFERROR(VLOOKUP(Проливка[[#This Row],[ID]]*1,'Срок хранения'!A612:C710,3,0),0)</f>
        <v>0</v>
      </c>
    </row>
    <row r="613" spans="1:26" x14ac:dyDescent="0.25">
      <c r="A613" s="9"/>
      <c r="B613" s="12" t="str">
        <f t="shared" si="37"/>
        <v xml:space="preserve"> </v>
      </c>
      <c r="C613" s="10" t="str">
        <f t="shared" si="36"/>
        <v xml:space="preserve"> </v>
      </c>
      <c r="D613" s="10">
        <f t="shared" si="38"/>
        <v>0</v>
      </c>
      <c r="E613" s="10">
        <f t="shared" si="39"/>
        <v>0</v>
      </c>
      <c r="W613" t="str">
        <f>IFERROR(MID(Проливка[[#This Row],[Штрихкод ]],1,FIND("-",Проливка[[#This Row],[Штрихкод ]],1)-1)," ")</f>
        <v xml:space="preserve"> </v>
      </c>
      <c r="X613" t="str">
        <f>IFERROR(RIGHT(Проливка[[#This Row],[Штрихкод ]],LEN(Проливка[[#This Row],[Штрихкод ]])-SEARCH("-",Проливка[[#This Row],[Штрихкод ]],1))," ")</f>
        <v xml:space="preserve"> </v>
      </c>
      <c r="Y613">
        <f>IFERROR(VLOOKUP(Проливка[[#This Row],[ID]]*1,'Срок хранения'!A613:B711,2,0),0)</f>
        <v>0</v>
      </c>
      <c r="Z613">
        <f>IFERROR(VLOOKUP(Проливка[[#This Row],[ID]]*1,'Срок хранения'!A613:C711,3,0),0)</f>
        <v>0</v>
      </c>
    </row>
    <row r="614" spans="1:26" x14ac:dyDescent="0.25">
      <c r="A614" s="9"/>
      <c r="B614" s="12" t="str">
        <f t="shared" si="37"/>
        <v xml:space="preserve"> </v>
      </c>
      <c r="C614" s="10" t="str">
        <f t="shared" si="36"/>
        <v xml:space="preserve"> </v>
      </c>
      <c r="D614" s="10">
        <f t="shared" si="38"/>
        <v>0</v>
      </c>
      <c r="E614" s="10">
        <f t="shared" si="39"/>
        <v>0</v>
      </c>
      <c r="W614" t="str">
        <f>IFERROR(MID(Проливка[[#This Row],[Штрихкод ]],1,FIND("-",Проливка[[#This Row],[Штрихкод ]],1)-1)," ")</f>
        <v xml:space="preserve"> </v>
      </c>
      <c r="X614" t="str">
        <f>IFERROR(RIGHT(Проливка[[#This Row],[Штрихкод ]],LEN(Проливка[[#This Row],[Штрихкод ]])-SEARCH("-",Проливка[[#This Row],[Штрихкод ]],1))," ")</f>
        <v xml:space="preserve"> </v>
      </c>
      <c r="Y614">
        <f>IFERROR(VLOOKUP(Проливка[[#This Row],[ID]]*1,'Срок хранения'!A614:B712,2,0),0)</f>
        <v>0</v>
      </c>
      <c r="Z614">
        <f>IFERROR(VLOOKUP(Проливка[[#This Row],[ID]]*1,'Срок хранения'!A614:C712,3,0),0)</f>
        <v>0</v>
      </c>
    </row>
    <row r="615" spans="1:26" x14ac:dyDescent="0.25">
      <c r="A615" s="9"/>
      <c r="B615" s="12" t="str">
        <f t="shared" si="37"/>
        <v xml:space="preserve"> </v>
      </c>
      <c r="C615" s="10" t="str">
        <f t="shared" si="36"/>
        <v xml:space="preserve"> </v>
      </c>
      <c r="D615" s="10">
        <f t="shared" si="38"/>
        <v>0</v>
      </c>
      <c r="E615" s="10">
        <f t="shared" si="39"/>
        <v>0</v>
      </c>
      <c r="W615" t="str">
        <f>IFERROR(MID(Проливка[[#This Row],[Штрихкод ]],1,FIND("-",Проливка[[#This Row],[Штрихкод ]],1)-1)," ")</f>
        <v xml:space="preserve"> </v>
      </c>
      <c r="X615" t="str">
        <f>IFERROR(RIGHT(Проливка[[#This Row],[Штрихкод ]],LEN(Проливка[[#This Row],[Штрихкод ]])-SEARCH("-",Проливка[[#This Row],[Штрихкод ]],1))," ")</f>
        <v xml:space="preserve"> </v>
      </c>
      <c r="Y615">
        <f>IFERROR(VLOOKUP(Проливка[[#This Row],[ID]]*1,'Срок хранения'!A615:B713,2,0),0)</f>
        <v>0</v>
      </c>
      <c r="Z615">
        <f>IFERROR(VLOOKUP(Проливка[[#This Row],[ID]]*1,'Срок хранения'!A615:C713,3,0),0)</f>
        <v>0</v>
      </c>
    </row>
    <row r="616" spans="1:26" x14ac:dyDescent="0.25">
      <c r="A616" s="9"/>
      <c r="B616" s="12" t="str">
        <f t="shared" si="37"/>
        <v xml:space="preserve"> </v>
      </c>
      <c r="C616" s="10" t="str">
        <f t="shared" si="36"/>
        <v xml:space="preserve"> </v>
      </c>
      <c r="D616" s="10">
        <f t="shared" si="38"/>
        <v>0</v>
      </c>
      <c r="E616" s="10">
        <f t="shared" si="39"/>
        <v>0</v>
      </c>
      <c r="W616" t="str">
        <f>IFERROR(MID(Проливка[[#This Row],[Штрихкод ]],1,FIND("-",Проливка[[#This Row],[Штрихкод ]],1)-1)," ")</f>
        <v xml:space="preserve"> </v>
      </c>
      <c r="X616" t="str">
        <f>IFERROR(RIGHT(Проливка[[#This Row],[Штрихкод ]],LEN(Проливка[[#This Row],[Штрихкод ]])-SEARCH("-",Проливка[[#This Row],[Штрихкод ]],1))," ")</f>
        <v xml:space="preserve"> </v>
      </c>
      <c r="Y616">
        <f>IFERROR(VLOOKUP(Проливка[[#This Row],[ID]]*1,'Срок хранения'!A616:B714,2,0),0)</f>
        <v>0</v>
      </c>
      <c r="Z616">
        <f>IFERROR(VLOOKUP(Проливка[[#This Row],[ID]]*1,'Срок хранения'!A616:C714,3,0),0)</f>
        <v>0</v>
      </c>
    </row>
    <row r="617" spans="1:26" x14ac:dyDescent="0.25">
      <c r="A617" s="9"/>
      <c r="B617" s="12" t="str">
        <f t="shared" si="37"/>
        <v xml:space="preserve"> </v>
      </c>
      <c r="C617" s="10" t="str">
        <f t="shared" si="36"/>
        <v xml:space="preserve"> </v>
      </c>
      <c r="D617" s="10">
        <f t="shared" si="38"/>
        <v>0</v>
      </c>
      <c r="E617" s="10">
        <f t="shared" si="39"/>
        <v>0</v>
      </c>
      <c r="W617" t="str">
        <f>IFERROR(MID(Проливка[[#This Row],[Штрихкод ]],1,FIND("-",Проливка[[#This Row],[Штрихкод ]],1)-1)," ")</f>
        <v xml:space="preserve"> </v>
      </c>
      <c r="X617" t="str">
        <f>IFERROR(RIGHT(Проливка[[#This Row],[Штрихкод ]],LEN(Проливка[[#This Row],[Штрихкод ]])-SEARCH("-",Проливка[[#This Row],[Штрихкод ]],1))," ")</f>
        <v xml:space="preserve"> </v>
      </c>
      <c r="Y617">
        <f>IFERROR(VLOOKUP(Проливка[[#This Row],[ID]]*1,'Срок хранения'!A617:B715,2,0),0)</f>
        <v>0</v>
      </c>
      <c r="Z617">
        <f>IFERROR(VLOOKUP(Проливка[[#This Row],[ID]]*1,'Срок хранения'!A617:C715,3,0),0)</f>
        <v>0</v>
      </c>
    </row>
    <row r="618" spans="1:26" x14ac:dyDescent="0.25">
      <c r="A618" s="9"/>
      <c r="B618" s="12" t="str">
        <f t="shared" si="37"/>
        <v xml:space="preserve"> </v>
      </c>
      <c r="C618" s="10" t="str">
        <f t="shared" si="36"/>
        <v xml:space="preserve"> </v>
      </c>
      <c r="D618" s="10">
        <f t="shared" si="38"/>
        <v>0</v>
      </c>
      <c r="E618" s="10">
        <f t="shared" si="39"/>
        <v>0</v>
      </c>
      <c r="W618" t="str">
        <f>IFERROR(MID(Проливка[[#This Row],[Штрихкод ]],1,FIND("-",Проливка[[#This Row],[Штрихкод ]],1)-1)," ")</f>
        <v xml:space="preserve"> </v>
      </c>
      <c r="X618" t="str">
        <f>IFERROR(RIGHT(Проливка[[#This Row],[Штрихкод ]],LEN(Проливка[[#This Row],[Штрихкод ]])-SEARCH("-",Проливка[[#This Row],[Штрихкод ]],1))," ")</f>
        <v xml:space="preserve"> </v>
      </c>
      <c r="Y618">
        <f>IFERROR(VLOOKUP(Проливка[[#This Row],[ID]]*1,'Срок хранения'!A618:B716,2,0),0)</f>
        <v>0</v>
      </c>
      <c r="Z618">
        <f>IFERROR(VLOOKUP(Проливка[[#This Row],[ID]]*1,'Срок хранения'!A618:C716,3,0),0)</f>
        <v>0</v>
      </c>
    </row>
    <row r="619" spans="1:26" x14ac:dyDescent="0.25">
      <c r="A619" s="9"/>
      <c r="B619" s="12" t="str">
        <f t="shared" si="37"/>
        <v xml:space="preserve"> </v>
      </c>
      <c r="C619" s="10" t="str">
        <f t="shared" si="36"/>
        <v xml:space="preserve"> </v>
      </c>
      <c r="D619" s="10">
        <f t="shared" si="38"/>
        <v>0</v>
      </c>
      <c r="E619" s="10">
        <f t="shared" si="39"/>
        <v>0</v>
      </c>
      <c r="W619" t="str">
        <f>IFERROR(MID(Проливка[[#This Row],[Штрихкод ]],1,FIND("-",Проливка[[#This Row],[Штрихкод ]],1)-1)," ")</f>
        <v xml:space="preserve"> </v>
      </c>
      <c r="X619" t="str">
        <f>IFERROR(RIGHT(Проливка[[#This Row],[Штрихкод ]],LEN(Проливка[[#This Row],[Штрихкод ]])-SEARCH("-",Проливка[[#This Row],[Штрихкод ]],1))," ")</f>
        <v xml:space="preserve"> </v>
      </c>
      <c r="Y619">
        <f>IFERROR(VLOOKUP(Проливка[[#This Row],[ID]]*1,'Срок хранения'!A619:B717,2,0),0)</f>
        <v>0</v>
      </c>
      <c r="Z619">
        <f>IFERROR(VLOOKUP(Проливка[[#This Row],[ID]]*1,'Срок хранения'!A619:C717,3,0),0)</f>
        <v>0</v>
      </c>
    </row>
    <row r="620" spans="1:26" x14ac:dyDescent="0.25">
      <c r="A620" s="9"/>
      <c r="B620" s="12" t="str">
        <f t="shared" si="37"/>
        <v xml:space="preserve"> </v>
      </c>
      <c r="C620" s="10" t="str">
        <f t="shared" si="36"/>
        <v xml:space="preserve"> </v>
      </c>
      <c r="D620" s="10">
        <f t="shared" si="38"/>
        <v>0</v>
      </c>
      <c r="E620" s="10">
        <f t="shared" si="39"/>
        <v>0</v>
      </c>
      <c r="W620" t="str">
        <f>IFERROR(MID(Проливка[[#This Row],[Штрихкод ]],1,FIND("-",Проливка[[#This Row],[Штрихкод ]],1)-1)," ")</f>
        <v xml:space="preserve"> </v>
      </c>
      <c r="X620" t="str">
        <f>IFERROR(RIGHT(Проливка[[#This Row],[Штрихкод ]],LEN(Проливка[[#This Row],[Штрихкод ]])-SEARCH("-",Проливка[[#This Row],[Штрихкод ]],1))," ")</f>
        <v xml:space="preserve"> </v>
      </c>
      <c r="Y620">
        <f>IFERROR(VLOOKUP(Проливка[[#This Row],[ID]]*1,'Срок хранения'!A620:B718,2,0),0)</f>
        <v>0</v>
      </c>
      <c r="Z620">
        <f>IFERROR(VLOOKUP(Проливка[[#This Row],[ID]]*1,'Срок хранения'!A620:C718,3,0),0)</f>
        <v>0</v>
      </c>
    </row>
    <row r="621" spans="1:26" x14ac:dyDescent="0.25">
      <c r="A621" s="9"/>
      <c r="B621" s="12" t="str">
        <f t="shared" si="37"/>
        <v xml:space="preserve"> </v>
      </c>
      <c r="C621" s="10" t="str">
        <f t="shared" si="36"/>
        <v xml:space="preserve"> </v>
      </c>
      <c r="D621" s="10">
        <f t="shared" si="38"/>
        <v>0</v>
      </c>
      <c r="E621" s="10">
        <f t="shared" si="39"/>
        <v>0</v>
      </c>
      <c r="W621" t="str">
        <f>IFERROR(MID(Проливка[[#This Row],[Штрихкод ]],1,FIND("-",Проливка[[#This Row],[Штрихкод ]],1)-1)," ")</f>
        <v xml:space="preserve"> </v>
      </c>
      <c r="X621" t="str">
        <f>IFERROR(RIGHT(Проливка[[#This Row],[Штрихкод ]],LEN(Проливка[[#This Row],[Штрихкод ]])-SEARCH("-",Проливка[[#This Row],[Штрихкод ]],1))," ")</f>
        <v xml:space="preserve"> </v>
      </c>
      <c r="Y621">
        <f>IFERROR(VLOOKUP(Проливка[[#This Row],[ID]]*1,'Срок хранения'!A621:B719,2,0),0)</f>
        <v>0</v>
      </c>
      <c r="Z621">
        <f>IFERROR(VLOOKUP(Проливка[[#This Row],[ID]]*1,'Срок хранения'!A621:C719,3,0),0)</f>
        <v>0</v>
      </c>
    </row>
    <row r="622" spans="1:26" x14ac:dyDescent="0.25">
      <c r="A622" s="9"/>
      <c r="B622" s="12" t="str">
        <f t="shared" si="37"/>
        <v xml:space="preserve"> </v>
      </c>
      <c r="C622" s="10" t="str">
        <f t="shared" si="36"/>
        <v xml:space="preserve"> </v>
      </c>
      <c r="D622" s="10">
        <f t="shared" si="38"/>
        <v>0</v>
      </c>
      <c r="E622" s="10">
        <f t="shared" si="39"/>
        <v>0</v>
      </c>
      <c r="W622" t="str">
        <f>IFERROR(MID(Проливка[[#This Row],[Штрихкод ]],1,FIND("-",Проливка[[#This Row],[Штрихкод ]],1)-1)," ")</f>
        <v xml:space="preserve"> </v>
      </c>
      <c r="X622" t="str">
        <f>IFERROR(RIGHT(Проливка[[#This Row],[Штрихкод ]],LEN(Проливка[[#This Row],[Штрихкод ]])-SEARCH("-",Проливка[[#This Row],[Штрихкод ]],1))," ")</f>
        <v xml:space="preserve"> </v>
      </c>
      <c r="Y622">
        <f>IFERROR(VLOOKUP(Проливка[[#This Row],[ID]]*1,'Срок хранения'!A622:B720,2,0),0)</f>
        <v>0</v>
      </c>
      <c r="Z622">
        <f>IFERROR(VLOOKUP(Проливка[[#This Row],[ID]]*1,'Срок хранения'!A622:C720,3,0),0)</f>
        <v>0</v>
      </c>
    </row>
    <row r="623" spans="1:26" x14ac:dyDescent="0.25">
      <c r="A623" s="9"/>
      <c r="B623" s="12" t="str">
        <f t="shared" si="37"/>
        <v xml:space="preserve"> </v>
      </c>
      <c r="C623" s="10" t="str">
        <f t="shared" si="36"/>
        <v xml:space="preserve"> </v>
      </c>
      <c r="D623" s="10">
        <f t="shared" si="38"/>
        <v>0</v>
      </c>
      <c r="E623" s="10">
        <f t="shared" si="39"/>
        <v>0</v>
      </c>
      <c r="W623" t="str">
        <f>IFERROR(MID(Проливка[[#This Row],[Штрихкод ]],1,FIND("-",Проливка[[#This Row],[Штрихкод ]],1)-1)," ")</f>
        <v xml:space="preserve"> </v>
      </c>
      <c r="X623" t="str">
        <f>IFERROR(RIGHT(Проливка[[#This Row],[Штрихкод ]],LEN(Проливка[[#This Row],[Штрихкод ]])-SEARCH("-",Проливка[[#This Row],[Штрихкод ]],1))," ")</f>
        <v xml:space="preserve"> </v>
      </c>
      <c r="Y623">
        <f>IFERROR(VLOOKUP(Проливка[[#This Row],[ID]]*1,'Срок хранения'!A623:B721,2,0),0)</f>
        <v>0</v>
      </c>
      <c r="Z623">
        <f>IFERROR(VLOOKUP(Проливка[[#This Row],[ID]]*1,'Срок хранения'!A623:C721,3,0),0)</f>
        <v>0</v>
      </c>
    </row>
    <row r="624" spans="1:26" x14ac:dyDescent="0.25">
      <c r="A624" s="9"/>
      <c r="B624" s="12" t="str">
        <f t="shared" si="37"/>
        <v xml:space="preserve"> </v>
      </c>
      <c r="C624" s="10" t="str">
        <f t="shared" si="36"/>
        <v xml:space="preserve"> </v>
      </c>
      <c r="D624" s="10">
        <f t="shared" si="38"/>
        <v>0</v>
      </c>
      <c r="E624" s="10">
        <f t="shared" si="39"/>
        <v>0</v>
      </c>
      <c r="W624" t="str">
        <f>IFERROR(MID(Проливка[[#This Row],[Штрихкод ]],1,FIND("-",Проливка[[#This Row],[Штрихкод ]],1)-1)," ")</f>
        <v xml:space="preserve"> </v>
      </c>
      <c r="X624" t="str">
        <f>IFERROR(RIGHT(Проливка[[#This Row],[Штрихкод ]],LEN(Проливка[[#This Row],[Штрихкод ]])-SEARCH("-",Проливка[[#This Row],[Штрихкод ]],1))," ")</f>
        <v xml:space="preserve"> </v>
      </c>
      <c r="Y624">
        <f>IFERROR(VLOOKUP(Проливка[[#This Row],[ID]]*1,'Срок хранения'!A624:B722,2,0),0)</f>
        <v>0</v>
      </c>
      <c r="Z624">
        <f>IFERROR(VLOOKUP(Проливка[[#This Row],[ID]]*1,'Срок хранения'!A624:C722,3,0),0)</f>
        <v>0</v>
      </c>
    </row>
    <row r="625" spans="1:26" x14ac:dyDescent="0.25">
      <c r="A625" s="9"/>
      <c r="B625" s="12" t="str">
        <f t="shared" si="37"/>
        <v xml:space="preserve"> </v>
      </c>
      <c r="C625" s="10" t="str">
        <f t="shared" si="36"/>
        <v xml:space="preserve"> </v>
      </c>
      <c r="D625" s="10">
        <f t="shared" si="38"/>
        <v>0</v>
      </c>
      <c r="E625" s="10">
        <f t="shared" si="39"/>
        <v>0</v>
      </c>
      <c r="W625" t="str">
        <f>IFERROR(MID(Проливка[[#This Row],[Штрихкод ]],1,FIND("-",Проливка[[#This Row],[Штрихкод ]],1)-1)," ")</f>
        <v xml:space="preserve"> </v>
      </c>
      <c r="X625" t="str">
        <f>IFERROR(RIGHT(Проливка[[#This Row],[Штрихкод ]],LEN(Проливка[[#This Row],[Штрихкод ]])-SEARCH("-",Проливка[[#This Row],[Штрихкод ]],1))," ")</f>
        <v xml:space="preserve"> </v>
      </c>
      <c r="Y625">
        <f>IFERROR(VLOOKUP(Проливка[[#This Row],[ID]]*1,'Срок хранения'!A625:B723,2,0),0)</f>
        <v>0</v>
      </c>
      <c r="Z625">
        <f>IFERROR(VLOOKUP(Проливка[[#This Row],[ID]]*1,'Срок хранения'!A625:C723,3,0),0)</f>
        <v>0</v>
      </c>
    </row>
    <row r="626" spans="1:26" x14ac:dyDescent="0.25">
      <c r="A626" s="9"/>
      <c r="B626" s="12" t="str">
        <f t="shared" si="37"/>
        <v xml:space="preserve"> </v>
      </c>
      <c r="C626" s="10" t="str">
        <f t="shared" si="36"/>
        <v xml:space="preserve"> </v>
      </c>
      <c r="D626" s="10">
        <f t="shared" si="38"/>
        <v>0</v>
      </c>
      <c r="E626" s="10">
        <f t="shared" si="39"/>
        <v>0</v>
      </c>
      <c r="W626" t="str">
        <f>IFERROR(MID(Проливка[[#This Row],[Штрихкод ]],1,FIND("-",Проливка[[#This Row],[Штрихкод ]],1)-1)," ")</f>
        <v xml:space="preserve"> </v>
      </c>
      <c r="X626" t="str">
        <f>IFERROR(RIGHT(Проливка[[#This Row],[Штрихкод ]],LEN(Проливка[[#This Row],[Штрихкод ]])-SEARCH("-",Проливка[[#This Row],[Штрихкод ]],1))," ")</f>
        <v xml:space="preserve"> </v>
      </c>
      <c r="Y626">
        <f>IFERROR(VLOOKUP(Проливка[[#This Row],[ID]]*1,'Срок хранения'!A626:B724,2,0),0)</f>
        <v>0</v>
      </c>
      <c r="Z626">
        <f>IFERROR(VLOOKUP(Проливка[[#This Row],[ID]]*1,'Срок хранения'!A626:C724,3,0),0)</f>
        <v>0</v>
      </c>
    </row>
    <row r="627" spans="1:26" x14ac:dyDescent="0.25">
      <c r="A627" s="9"/>
      <c r="B627" s="12" t="str">
        <f t="shared" si="37"/>
        <v xml:space="preserve"> </v>
      </c>
      <c r="C627" s="10" t="str">
        <f t="shared" si="36"/>
        <v xml:space="preserve"> </v>
      </c>
      <c r="D627" s="10">
        <f t="shared" si="38"/>
        <v>0</v>
      </c>
      <c r="E627" s="10">
        <f t="shared" si="39"/>
        <v>0</v>
      </c>
      <c r="W627" t="str">
        <f>IFERROR(MID(Проливка[[#This Row],[Штрихкод ]],1,FIND("-",Проливка[[#This Row],[Штрихкод ]],1)-1)," ")</f>
        <v xml:space="preserve"> </v>
      </c>
      <c r="X627" t="str">
        <f>IFERROR(RIGHT(Проливка[[#This Row],[Штрихкод ]],LEN(Проливка[[#This Row],[Штрихкод ]])-SEARCH("-",Проливка[[#This Row],[Штрихкод ]],1))," ")</f>
        <v xml:space="preserve"> </v>
      </c>
      <c r="Y627">
        <f>IFERROR(VLOOKUP(Проливка[[#This Row],[ID]]*1,'Срок хранения'!A627:B725,2,0),0)</f>
        <v>0</v>
      </c>
      <c r="Z627">
        <f>IFERROR(VLOOKUP(Проливка[[#This Row],[ID]]*1,'Срок хранения'!A627:C725,3,0),0)</f>
        <v>0</v>
      </c>
    </row>
    <row r="628" spans="1:26" x14ac:dyDescent="0.25">
      <c r="A628" s="9"/>
      <c r="B628" s="12" t="str">
        <f t="shared" si="37"/>
        <v xml:space="preserve"> </v>
      </c>
      <c r="C628" s="10" t="str">
        <f t="shared" si="36"/>
        <v xml:space="preserve"> </v>
      </c>
      <c r="D628" s="10">
        <f t="shared" si="38"/>
        <v>0</v>
      </c>
      <c r="E628" s="10">
        <f t="shared" si="39"/>
        <v>0</v>
      </c>
      <c r="W628" t="str">
        <f>IFERROR(MID(Проливка[[#This Row],[Штрихкод ]],1,FIND("-",Проливка[[#This Row],[Штрихкод ]],1)-1)," ")</f>
        <v xml:space="preserve"> </v>
      </c>
      <c r="X628" t="str">
        <f>IFERROR(RIGHT(Проливка[[#This Row],[Штрихкод ]],LEN(Проливка[[#This Row],[Штрихкод ]])-SEARCH("-",Проливка[[#This Row],[Штрихкод ]],1))," ")</f>
        <v xml:space="preserve"> </v>
      </c>
      <c r="Y628">
        <f>IFERROR(VLOOKUP(Проливка[[#This Row],[ID]]*1,'Срок хранения'!A628:B726,2,0),0)</f>
        <v>0</v>
      </c>
      <c r="Z628">
        <f>IFERROR(VLOOKUP(Проливка[[#This Row],[ID]]*1,'Срок хранения'!A628:C726,3,0),0)</f>
        <v>0</v>
      </c>
    </row>
    <row r="629" spans="1:26" x14ac:dyDescent="0.25">
      <c r="A629" s="9"/>
      <c r="B629" s="12" t="str">
        <f t="shared" si="37"/>
        <v xml:space="preserve"> </v>
      </c>
      <c r="C629" s="10" t="str">
        <f t="shared" si="36"/>
        <v xml:space="preserve"> </v>
      </c>
      <c r="D629" s="10">
        <f t="shared" si="38"/>
        <v>0</v>
      </c>
      <c r="E629" s="10">
        <f t="shared" si="39"/>
        <v>0</v>
      </c>
      <c r="W629" t="str">
        <f>IFERROR(MID(Проливка[[#This Row],[Штрихкод ]],1,FIND("-",Проливка[[#This Row],[Штрихкод ]],1)-1)," ")</f>
        <v xml:space="preserve"> </v>
      </c>
      <c r="X629" t="str">
        <f>IFERROR(RIGHT(Проливка[[#This Row],[Штрихкод ]],LEN(Проливка[[#This Row],[Штрихкод ]])-SEARCH("-",Проливка[[#This Row],[Штрихкод ]],1))," ")</f>
        <v xml:space="preserve"> </v>
      </c>
      <c r="Y629">
        <f>IFERROR(VLOOKUP(Проливка[[#This Row],[ID]]*1,'Срок хранения'!A629:B727,2,0),0)</f>
        <v>0</v>
      </c>
      <c r="Z629">
        <f>IFERROR(VLOOKUP(Проливка[[#This Row],[ID]]*1,'Срок хранения'!A629:C727,3,0),0)</f>
        <v>0</v>
      </c>
    </row>
    <row r="630" spans="1:26" x14ac:dyDescent="0.25">
      <c r="A630" s="9"/>
      <c r="B630" s="12" t="str">
        <f t="shared" si="37"/>
        <v xml:space="preserve"> </v>
      </c>
      <c r="C630" s="10" t="str">
        <f t="shared" si="36"/>
        <v xml:space="preserve"> </v>
      </c>
      <c r="D630" s="10">
        <f t="shared" si="38"/>
        <v>0</v>
      </c>
      <c r="E630" s="10">
        <f t="shared" si="39"/>
        <v>0</v>
      </c>
      <c r="W630" t="str">
        <f>IFERROR(MID(Проливка[[#This Row],[Штрихкод ]],1,FIND("-",Проливка[[#This Row],[Штрихкод ]],1)-1)," ")</f>
        <v xml:space="preserve"> </v>
      </c>
      <c r="X630" t="str">
        <f>IFERROR(RIGHT(Проливка[[#This Row],[Штрихкод ]],LEN(Проливка[[#This Row],[Штрихкод ]])-SEARCH("-",Проливка[[#This Row],[Штрихкод ]],1))," ")</f>
        <v xml:space="preserve"> </v>
      </c>
      <c r="Y630">
        <f>IFERROR(VLOOKUP(Проливка[[#This Row],[ID]]*1,'Срок хранения'!A630:B728,2,0),0)</f>
        <v>0</v>
      </c>
      <c r="Z630">
        <f>IFERROR(VLOOKUP(Проливка[[#This Row],[ID]]*1,'Срок хранения'!A630:C728,3,0),0)</f>
        <v>0</v>
      </c>
    </row>
    <row r="631" spans="1:26" x14ac:dyDescent="0.25">
      <c r="A631" s="9"/>
      <c r="B631" s="12" t="str">
        <f t="shared" si="37"/>
        <v xml:space="preserve"> </v>
      </c>
      <c r="C631" s="10" t="str">
        <f t="shared" si="36"/>
        <v xml:space="preserve"> </v>
      </c>
      <c r="D631" s="10">
        <f t="shared" si="38"/>
        <v>0</v>
      </c>
      <c r="E631" s="10">
        <f t="shared" si="39"/>
        <v>0</v>
      </c>
      <c r="W631" t="str">
        <f>IFERROR(MID(Проливка[[#This Row],[Штрихкод ]],1,FIND("-",Проливка[[#This Row],[Штрихкод ]],1)-1)," ")</f>
        <v xml:space="preserve"> </v>
      </c>
      <c r="X631" t="str">
        <f>IFERROR(RIGHT(Проливка[[#This Row],[Штрихкод ]],LEN(Проливка[[#This Row],[Штрихкод ]])-SEARCH("-",Проливка[[#This Row],[Штрихкод ]],1))," ")</f>
        <v xml:space="preserve"> </v>
      </c>
      <c r="Y631">
        <f>IFERROR(VLOOKUP(Проливка[[#This Row],[ID]]*1,'Срок хранения'!A631:B729,2,0),0)</f>
        <v>0</v>
      </c>
      <c r="Z631">
        <f>IFERROR(VLOOKUP(Проливка[[#This Row],[ID]]*1,'Срок хранения'!A631:C729,3,0),0)</f>
        <v>0</v>
      </c>
    </row>
    <row r="632" spans="1:26" x14ac:dyDescent="0.25">
      <c r="A632" s="9"/>
      <c r="B632" s="12" t="str">
        <f t="shared" si="37"/>
        <v xml:space="preserve"> </v>
      </c>
      <c r="C632" s="10" t="str">
        <f t="shared" si="36"/>
        <v xml:space="preserve"> </v>
      </c>
      <c r="D632" s="10">
        <f t="shared" si="38"/>
        <v>0</v>
      </c>
      <c r="E632" s="10">
        <f t="shared" si="39"/>
        <v>0</v>
      </c>
      <c r="W632" t="str">
        <f>IFERROR(MID(Проливка[[#This Row],[Штрихкод ]],1,FIND("-",Проливка[[#This Row],[Штрихкод ]],1)-1)," ")</f>
        <v xml:space="preserve"> </v>
      </c>
      <c r="X632" t="str">
        <f>IFERROR(RIGHT(Проливка[[#This Row],[Штрихкод ]],LEN(Проливка[[#This Row],[Штрихкод ]])-SEARCH("-",Проливка[[#This Row],[Штрихкод ]],1))," ")</f>
        <v xml:space="preserve"> </v>
      </c>
      <c r="Y632">
        <f>IFERROR(VLOOKUP(Проливка[[#This Row],[ID]]*1,'Срок хранения'!A632:B730,2,0),0)</f>
        <v>0</v>
      </c>
      <c r="Z632">
        <f>IFERROR(VLOOKUP(Проливка[[#This Row],[ID]]*1,'Срок хранения'!A632:C730,3,0),0)</f>
        <v>0</v>
      </c>
    </row>
    <row r="633" spans="1:26" x14ac:dyDescent="0.25">
      <c r="A633" s="9"/>
      <c r="B633" s="12" t="str">
        <f t="shared" si="37"/>
        <v xml:space="preserve"> </v>
      </c>
      <c r="C633" s="10" t="str">
        <f t="shared" si="36"/>
        <v xml:space="preserve"> </v>
      </c>
      <c r="D633" s="10">
        <f t="shared" si="38"/>
        <v>0</v>
      </c>
      <c r="E633" s="10">
        <f t="shared" si="39"/>
        <v>0</v>
      </c>
      <c r="W633" t="str">
        <f>IFERROR(MID(Проливка[[#This Row],[Штрихкод ]],1,FIND("-",Проливка[[#This Row],[Штрихкод ]],1)-1)," ")</f>
        <v xml:space="preserve"> </v>
      </c>
      <c r="X633" t="str">
        <f>IFERROR(RIGHT(Проливка[[#This Row],[Штрихкод ]],LEN(Проливка[[#This Row],[Штрихкод ]])-SEARCH("-",Проливка[[#This Row],[Штрихкод ]],1))," ")</f>
        <v xml:space="preserve"> </v>
      </c>
      <c r="Y633">
        <f>IFERROR(VLOOKUP(Проливка[[#This Row],[ID]]*1,'Срок хранения'!A633:B731,2,0),0)</f>
        <v>0</v>
      </c>
      <c r="Z633">
        <f>IFERROR(VLOOKUP(Проливка[[#This Row],[ID]]*1,'Срок хранения'!A633:C731,3,0),0)</f>
        <v>0</v>
      </c>
    </row>
    <row r="634" spans="1:26" x14ac:dyDescent="0.25">
      <c r="A634" s="9"/>
      <c r="B634" s="12" t="str">
        <f t="shared" si="37"/>
        <v xml:space="preserve"> </v>
      </c>
      <c r="C634" s="10" t="str">
        <f t="shared" si="36"/>
        <v xml:space="preserve"> </v>
      </c>
      <c r="D634" s="10">
        <f t="shared" si="38"/>
        <v>0</v>
      </c>
      <c r="E634" s="10">
        <f t="shared" si="39"/>
        <v>0</v>
      </c>
      <c r="W634" t="str">
        <f>IFERROR(MID(Проливка[[#This Row],[Штрихкод ]],1,FIND("-",Проливка[[#This Row],[Штрихкод ]],1)-1)," ")</f>
        <v xml:space="preserve"> </v>
      </c>
      <c r="X634" t="str">
        <f>IFERROR(RIGHT(Проливка[[#This Row],[Штрихкод ]],LEN(Проливка[[#This Row],[Штрихкод ]])-SEARCH("-",Проливка[[#This Row],[Штрихкод ]],1))," ")</f>
        <v xml:space="preserve"> </v>
      </c>
      <c r="Y634">
        <f>IFERROR(VLOOKUP(Проливка[[#This Row],[ID]]*1,'Срок хранения'!A634:B732,2,0),0)</f>
        <v>0</v>
      </c>
      <c r="Z634">
        <f>IFERROR(VLOOKUP(Проливка[[#This Row],[ID]]*1,'Срок хранения'!A634:C732,3,0),0)</f>
        <v>0</v>
      </c>
    </row>
    <row r="635" spans="1:26" x14ac:dyDescent="0.25">
      <c r="A635" s="9"/>
      <c r="B635" s="12" t="str">
        <f t="shared" si="37"/>
        <v xml:space="preserve"> </v>
      </c>
      <c r="C635" s="10" t="str">
        <f t="shared" si="36"/>
        <v xml:space="preserve"> </v>
      </c>
      <c r="D635" s="10">
        <f t="shared" si="38"/>
        <v>0</v>
      </c>
      <c r="E635" s="10">
        <f t="shared" si="39"/>
        <v>0</v>
      </c>
      <c r="W635" t="str">
        <f>IFERROR(MID(Проливка[[#This Row],[Штрихкод ]],1,FIND("-",Проливка[[#This Row],[Штрихкод ]],1)-1)," ")</f>
        <v xml:space="preserve"> </v>
      </c>
      <c r="X635" t="str">
        <f>IFERROR(RIGHT(Проливка[[#This Row],[Штрихкод ]],LEN(Проливка[[#This Row],[Штрихкод ]])-SEARCH("-",Проливка[[#This Row],[Штрихкод ]],1))," ")</f>
        <v xml:space="preserve"> </v>
      </c>
      <c r="Y635">
        <f>IFERROR(VLOOKUP(Проливка[[#This Row],[ID]]*1,'Срок хранения'!A635:B733,2,0),0)</f>
        <v>0</v>
      </c>
      <c r="Z635">
        <f>IFERROR(VLOOKUP(Проливка[[#This Row],[ID]]*1,'Срок хранения'!A635:C733,3,0),0)</f>
        <v>0</v>
      </c>
    </row>
    <row r="636" spans="1:26" x14ac:dyDescent="0.25">
      <c r="A636" s="9"/>
      <c r="B636" s="12" t="str">
        <f t="shared" si="37"/>
        <v xml:space="preserve"> </v>
      </c>
      <c r="C636" s="10" t="str">
        <f t="shared" si="36"/>
        <v xml:space="preserve"> </v>
      </c>
      <c r="D636" s="10">
        <f t="shared" si="38"/>
        <v>0</v>
      </c>
      <c r="E636" s="10">
        <f t="shared" si="39"/>
        <v>0</v>
      </c>
      <c r="W636" t="str">
        <f>IFERROR(MID(Проливка[[#This Row],[Штрихкод ]],1,FIND("-",Проливка[[#This Row],[Штрихкод ]],1)-1)," ")</f>
        <v xml:space="preserve"> </v>
      </c>
      <c r="X636" t="str">
        <f>IFERROR(RIGHT(Проливка[[#This Row],[Штрихкод ]],LEN(Проливка[[#This Row],[Штрихкод ]])-SEARCH("-",Проливка[[#This Row],[Штрихкод ]],1))," ")</f>
        <v xml:space="preserve"> </v>
      </c>
      <c r="Y636">
        <f>IFERROR(VLOOKUP(Проливка[[#This Row],[ID]]*1,'Срок хранения'!A636:B734,2,0),0)</f>
        <v>0</v>
      </c>
      <c r="Z636">
        <f>IFERROR(VLOOKUP(Проливка[[#This Row],[ID]]*1,'Срок хранения'!A636:C734,3,0),0)</f>
        <v>0</v>
      </c>
    </row>
    <row r="637" spans="1:26" x14ac:dyDescent="0.25">
      <c r="A637" s="9"/>
      <c r="B637" s="12" t="str">
        <f t="shared" si="37"/>
        <v xml:space="preserve"> </v>
      </c>
      <c r="C637" s="10" t="str">
        <f t="shared" si="36"/>
        <v xml:space="preserve"> </v>
      </c>
      <c r="D637" s="10">
        <f t="shared" si="38"/>
        <v>0</v>
      </c>
      <c r="E637" s="10">
        <f t="shared" si="39"/>
        <v>0</v>
      </c>
      <c r="W637" t="str">
        <f>IFERROR(MID(Проливка[[#This Row],[Штрихкод ]],1,FIND("-",Проливка[[#This Row],[Штрихкод ]],1)-1)," ")</f>
        <v xml:space="preserve"> </v>
      </c>
      <c r="X637" t="str">
        <f>IFERROR(RIGHT(Проливка[[#This Row],[Штрихкод ]],LEN(Проливка[[#This Row],[Штрихкод ]])-SEARCH("-",Проливка[[#This Row],[Штрихкод ]],1))," ")</f>
        <v xml:space="preserve"> </v>
      </c>
      <c r="Y637">
        <f>IFERROR(VLOOKUP(Проливка[[#This Row],[ID]]*1,'Срок хранения'!A637:B735,2,0),0)</f>
        <v>0</v>
      </c>
      <c r="Z637">
        <f>IFERROR(VLOOKUP(Проливка[[#This Row],[ID]]*1,'Срок хранения'!A637:C735,3,0),0)</f>
        <v>0</v>
      </c>
    </row>
    <row r="638" spans="1:26" x14ac:dyDescent="0.25">
      <c r="A638" s="9"/>
      <c r="B638" s="12" t="str">
        <f t="shared" si="37"/>
        <v xml:space="preserve"> </v>
      </c>
      <c r="C638" s="10" t="str">
        <f t="shared" si="36"/>
        <v xml:space="preserve"> </v>
      </c>
      <c r="D638" s="10">
        <f t="shared" si="38"/>
        <v>0</v>
      </c>
      <c r="E638" s="10">
        <f t="shared" si="39"/>
        <v>0</v>
      </c>
      <c r="W638" t="str">
        <f>IFERROR(MID(Проливка[[#This Row],[Штрихкод ]],1,FIND("-",Проливка[[#This Row],[Штрихкод ]],1)-1)," ")</f>
        <v xml:space="preserve"> </v>
      </c>
      <c r="X638" t="str">
        <f>IFERROR(RIGHT(Проливка[[#This Row],[Штрихкод ]],LEN(Проливка[[#This Row],[Штрихкод ]])-SEARCH("-",Проливка[[#This Row],[Штрихкод ]],1))," ")</f>
        <v xml:space="preserve"> </v>
      </c>
      <c r="Y638">
        <f>IFERROR(VLOOKUP(Проливка[[#This Row],[ID]]*1,'Срок хранения'!A638:B736,2,0),0)</f>
        <v>0</v>
      </c>
      <c r="Z638">
        <f>IFERROR(VLOOKUP(Проливка[[#This Row],[ID]]*1,'Срок хранения'!A638:C736,3,0),0)</f>
        <v>0</v>
      </c>
    </row>
    <row r="639" spans="1:26" x14ac:dyDescent="0.25">
      <c r="A639" s="9"/>
      <c r="B639" s="12" t="str">
        <f t="shared" si="37"/>
        <v xml:space="preserve"> </v>
      </c>
      <c r="C639" s="10" t="str">
        <f t="shared" si="36"/>
        <v xml:space="preserve"> </v>
      </c>
      <c r="D639" s="10">
        <f t="shared" si="38"/>
        <v>0</v>
      </c>
      <c r="E639" s="10">
        <f t="shared" si="39"/>
        <v>0</v>
      </c>
      <c r="W639" t="str">
        <f>IFERROR(MID(Проливка[[#This Row],[Штрихкод ]],1,FIND("-",Проливка[[#This Row],[Штрихкод ]],1)-1)," ")</f>
        <v xml:space="preserve"> </v>
      </c>
      <c r="X639" t="str">
        <f>IFERROR(RIGHT(Проливка[[#This Row],[Штрихкод ]],LEN(Проливка[[#This Row],[Штрихкод ]])-SEARCH("-",Проливка[[#This Row],[Штрихкод ]],1))," ")</f>
        <v xml:space="preserve"> </v>
      </c>
      <c r="Y639">
        <f>IFERROR(VLOOKUP(Проливка[[#This Row],[ID]]*1,'Срок хранения'!A639:B737,2,0),0)</f>
        <v>0</v>
      </c>
      <c r="Z639">
        <f>IFERROR(VLOOKUP(Проливка[[#This Row],[ID]]*1,'Срок хранения'!A639:C737,3,0),0)</f>
        <v>0</v>
      </c>
    </row>
    <row r="640" spans="1:26" x14ac:dyDescent="0.25">
      <c r="A640" s="9"/>
      <c r="B640" s="12" t="str">
        <f t="shared" si="37"/>
        <v xml:space="preserve"> </v>
      </c>
      <c r="C640" s="10" t="str">
        <f t="shared" si="36"/>
        <v xml:space="preserve"> </v>
      </c>
      <c r="D640" s="10">
        <f t="shared" si="38"/>
        <v>0</v>
      </c>
      <c r="E640" s="10">
        <f t="shared" si="39"/>
        <v>0</v>
      </c>
      <c r="W640" t="str">
        <f>IFERROR(MID(Проливка[[#This Row],[Штрихкод ]],1,FIND("-",Проливка[[#This Row],[Штрихкод ]],1)-1)," ")</f>
        <v xml:space="preserve"> </v>
      </c>
      <c r="X640" t="str">
        <f>IFERROR(RIGHT(Проливка[[#This Row],[Штрихкод ]],LEN(Проливка[[#This Row],[Штрихкод ]])-SEARCH("-",Проливка[[#This Row],[Штрихкод ]],1))," ")</f>
        <v xml:space="preserve"> </v>
      </c>
      <c r="Y640">
        <f>IFERROR(VLOOKUP(Проливка[[#This Row],[ID]]*1,'Срок хранения'!A640:B738,2,0),0)</f>
        <v>0</v>
      </c>
      <c r="Z640">
        <f>IFERROR(VLOOKUP(Проливка[[#This Row],[ID]]*1,'Срок хранения'!A640:C738,3,0),0)</f>
        <v>0</v>
      </c>
    </row>
    <row r="641" spans="1:26" x14ac:dyDescent="0.25">
      <c r="A641" s="9"/>
      <c r="B641" s="12" t="str">
        <f t="shared" si="37"/>
        <v xml:space="preserve"> </v>
      </c>
      <c r="C641" s="10" t="str">
        <f t="shared" si="36"/>
        <v xml:space="preserve"> </v>
      </c>
      <c r="D641" s="10">
        <f t="shared" si="38"/>
        <v>0</v>
      </c>
      <c r="E641" s="10">
        <f t="shared" si="39"/>
        <v>0</v>
      </c>
      <c r="W641" t="str">
        <f>IFERROR(MID(Проливка[[#This Row],[Штрихкод ]],1,FIND("-",Проливка[[#This Row],[Штрихкод ]],1)-1)," ")</f>
        <v xml:space="preserve"> </v>
      </c>
      <c r="X641" t="str">
        <f>IFERROR(RIGHT(Проливка[[#This Row],[Штрихкод ]],LEN(Проливка[[#This Row],[Штрихкод ]])-SEARCH("-",Проливка[[#This Row],[Штрихкод ]],1))," ")</f>
        <v xml:space="preserve"> </v>
      </c>
      <c r="Y641">
        <f>IFERROR(VLOOKUP(Проливка[[#This Row],[ID]]*1,'Срок хранения'!A641:B739,2,0),0)</f>
        <v>0</v>
      </c>
      <c r="Z641">
        <f>IFERROR(VLOOKUP(Проливка[[#This Row],[ID]]*1,'Срок хранения'!A641:C739,3,0),0)</f>
        <v>0</v>
      </c>
    </row>
    <row r="642" spans="1:26" x14ac:dyDescent="0.25">
      <c r="A642" s="9"/>
      <c r="B642" s="12" t="str">
        <f t="shared" si="37"/>
        <v xml:space="preserve"> </v>
      </c>
      <c r="C642" s="10" t="str">
        <f t="shared" ref="C642:C705" si="40">X642</f>
        <v xml:space="preserve"> </v>
      </c>
      <c r="D642" s="10">
        <f t="shared" si="38"/>
        <v>0</v>
      </c>
      <c r="E642" s="10">
        <f t="shared" si="39"/>
        <v>0</v>
      </c>
      <c r="W642" t="str">
        <f>IFERROR(MID(Проливка[[#This Row],[Штрихкод ]],1,FIND("-",Проливка[[#This Row],[Штрихкод ]],1)-1)," ")</f>
        <v xml:space="preserve"> </v>
      </c>
      <c r="X642" t="str">
        <f>IFERROR(RIGHT(Проливка[[#This Row],[Штрихкод ]],LEN(Проливка[[#This Row],[Штрихкод ]])-SEARCH("-",Проливка[[#This Row],[Штрихкод ]],1))," ")</f>
        <v xml:space="preserve"> </v>
      </c>
      <c r="Y642">
        <f>IFERROR(VLOOKUP(Проливка[[#This Row],[ID]]*1,'Срок хранения'!A642:B740,2,0),0)</f>
        <v>0</v>
      </c>
      <c r="Z642">
        <f>IFERROR(VLOOKUP(Проливка[[#This Row],[ID]]*1,'Срок хранения'!A642:C740,3,0),0)</f>
        <v>0</v>
      </c>
    </row>
    <row r="643" spans="1:26" x14ac:dyDescent="0.25">
      <c r="A643" s="9"/>
      <c r="B643" s="12" t="str">
        <f t="shared" ref="B643:B706" si="41">W643</f>
        <v xml:space="preserve"> </v>
      </c>
      <c r="C643" s="10" t="str">
        <f t="shared" si="40"/>
        <v xml:space="preserve"> </v>
      </c>
      <c r="D643" s="10">
        <f t="shared" ref="D643:D706" si="42">Y643</f>
        <v>0</v>
      </c>
      <c r="E643" s="10">
        <f t="shared" ref="E643:E706" si="43">Z643</f>
        <v>0</v>
      </c>
      <c r="W643" t="str">
        <f>IFERROR(MID(Проливка[[#This Row],[Штрихкод ]],1,FIND("-",Проливка[[#This Row],[Штрихкод ]],1)-1)," ")</f>
        <v xml:space="preserve"> </v>
      </c>
      <c r="X643" t="str">
        <f>IFERROR(RIGHT(Проливка[[#This Row],[Штрихкод ]],LEN(Проливка[[#This Row],[Штрихкод ]])-SEARCH("-",Проливка[[#This Row],[Штрихкод ]],1))," ")</f>
        <v xml:space="preserve"> </v>
      </c>
      <c r="Y643">
        <f>IFERROR(VLOOKUP(Проливка[[#This Row],[ID]]*1,'Срок хранения'!A643:B741,2,0),0)</f>
        <v>0</v>
      </c>
      <c r="Z643">
        <f>IFERROR(VLOOKUP(Проливка[[#This Row],[ID]]*1,'Срок хранения'!A643:C741,3,0),0)</f>
        <v>0</v>
      </c>
    </row>
    <row r="644" spans="1:26" x14ac:dyDescent="0.25">
      <c r="A644" s="9"/>
      <c r="B644" s="12" t="str">
        <f t="shared" si="41"/>
        <v xml:space="preserve"> </v>
      </c>
      <c r="C644" s="10" t="str">
        <f t="shared" si="40"/>
        <v xml:space="preserve"> </v>
      </c>
      <c r="D644" s="10">
        <f t="shared" si="42"/>
        <v>0</v>
      </c>
      <c r="E644" s="10">
        <f t="shared" si="43"/>
        <v>0</v>
      </c>
      <c r="W644" t="str">
        <f>IFERROR(MID(Проливка[[#This Row],[Штрихкод ]],1,FIND("-",Проливка[[#This Row],[Штрихкод ]],1)-1)," ")</f>
        <v xml:space="preserve"> </v>
      </c>
      <c r="X644" t="str">
        <f>IFERROR(RIGHT(Проливка[[#This Row],[Штрихкод ]],LEN(Проливка[[#This Row],[Штрихкод ]])-SEARCH("-",Проливка[[#This Row],[Штрихкод ]],1))," ")</f>
        <v xml:space="preserve"> </v>
      </c>
      <c r="Y644">
        <f>IFERROR(VLOOKUP(Проливка[[#This Row],[ID]]*1,'Срок хранения'!A644:B742,2,0),0)</f>
        <v>0</v>
      </c>
      <c r="Z644">
        <f>IFERROR(VLOOKUP(Проливка[[#This Row],[ID]]*1,'Срок хранения'!A644:C742,3,0),0)</f>
        <v>0</v>
      </c>
    </row>
    <row r="645" spans="1:26" x14ac:dyDescent="0.25">
      <c r="A645" s="9"/>
      <c r="B645" s="12" t="str">
        <f t="shared" si="41"/>
        <v xml:space="preserve"> </v>
      </c>
      <c r="C645" s="10" t="str">
        <f t="shared" si="40"/>
        <v xml:space="preserve"> </v>
      </c>
      <c r="D645" s="10">
        <f t="shared" si="42"/>
        <v>0</v>
      </c>
      <c r="E645" s="10">
        <f t="shared" si="43"/>
        <v>0</v>
      </c>
      <c r="W645" t="str">
        <f>IFERROR(MID(Проливка[[#This Row],[Штрихкод ]],1,FIND("-",Проливка[[#This Row],[Штрихкод ]],1)-1)," ")</f>
        <v xml:space="preserve"> </v>
      </c>
      <c r="X645" t="str">
        <f>IFERROR(RIGHT(Проливка[[#This Row],[Штрихкод ]],LEN(Проливка[[#This Row],[Штрихкод ]])-SEARCH("-",Проливка[[#This Row],[Штрихкод ]],1))," ")</f>
        <v xml:space="preserve"> </v>
      </c>
      <c r="Y645">
        <f>IFERROR(VLOOKUP(Проливка[[#This Row],[ID]]*1,'Срок хранения'!A645:B743,2,0),0)</f>
        <v>0</v>
      </c>
      <c r="Z645">
        <f>IFERROR(VLOOKUP(Проливка[[#This Row],[ID]]*1,'Срок хранения'!A645:C743,3,0),0)</f>
        <v>0</v>
      </c>
    </row>
    <row r="646" spans="1:26" x14ac:dyDescent="0.25">
      <c r="A646" s="9"/>
      <c r="B646" s="12" t="str">
        <f t="shared" si="41"/>
        <v xml:space="preserve"> </v>
      </c>
      <c r="C646" s="10" t="str">
        <f t="shared" si="40"/>
        <v xml:space="preserve"> </v>
      </c>
      <c r="D646" s="10">
        <f t="shared" si="42"/>
        <v>0</v>
      </c>
      <c r="E646" s="10">
        <f t="shared" si="43"/>
        <v>0</v>
      </c>
      <c r="W646" t="str">
        <f>IFERROR(MID(Проливка[[#This Row],[Штрихкод ]],1,FIND("-",Проливка[[#This Row],[Штрихкод ]],1)-1)," ")</f>
        <v xml:space="preserve"> </v>
      </c>
      <c r="X646" t="str">
        <f>IFERROR(RIGHT(Проливка[[#This Row],[Штрихкод ]],LEN(Проливка[[#This Row],[Штрихкод ]])-SEARCH("-",Проливка[[#This Row],[Штрихкод ]],1))," ")</f>
        <v xml:space="preserve"> </v>
      </c>
      <c r="Y646">
        <f>IFERROR(VLOOKUP(Проливка[[#This Row],[ID]]*1,'Срок хранения'!A646:B744,2,0),0)</f>
        <v>0</v>
      </c>
      <c r="Z646">
        <f>IFERROR(VLOOKUP(Проливка[[#This Row],[ID]]*1,'Срок хранения'!A646:C744,3,0),0)</f>
        <v>0</v>
      </c>
    </row>
    <row r="647" spans="1:26" x14ac:dyDescent="0.25">
      <c r="A647" s="9"/>
      <c r="B647" s="12" t="str">
        <f t="shared" si="41"/>
        <v xml:space="preserve"> </v>
      </c>
      <c r="C647" s="10" t="str">
        <f t="shared" si="40"/>
        <v xml:space="preserve"> </v>
      </c>
      <c r="D647" s="10">
        <f t="shared" si="42"/>
        <v>0</v>
      </c>
      <c r="E647" s="10">
        <f t="shared" si="43"/>
        <v>0</v>
      </c>
      <c r="W647" t="str">
        <f>IFERROR(MID(Проливка[[#This Row],[Штрихкод ]],1,FIND("-",Проливка[[#This Row],[Штрихкод ]],1)-1)," ")</f>
        <v xml:space="preserve"> </v>
      </c>
      <c r="X647" t="str">
        <f>IFERROR(RIGHT(Проливка[[#This Row],[Штрихкод ]],LEN(Проливка[[#This Row],[Штрихкод ]])-SEARCH("-",Проливка[[#This Row],[Штрихкод ]],1))," ")</f>
        <v xml:space="preserve"> </v>
      </c>
      <c r="Y647">
        <f>IFERROR(VLOOKUP(Проливка[[#This Row],[ID]]*1,'Срок хранения'!A647:B745,2,0),0)</f>
        <v>0</v>
      </c>
      <c r="Z647">
        <f>IFERROR(VLOOKUP(Проливка[[#This Row],[ID]]*1,'Срок хранения'!A647:C745,3,0),0)</f>
        <v>0</v>
      </c>
    </row>
    <row r="648" spans="1:26" x14ac:dyDescent="0.25">
      <c r="A648" s="9"/>
      <c r="B648" s="12" t="str">
        <f t="shared" si="41"/>
        <v xml:space="preserve"> </v>
      </c>
      <c r="C648" s="10" t="str">
        <f t="shared" si="40"/>
        <v xml:space="preserve"> </v>
      </c>
      <c r="D648" s="10">
        <f t="shared" si="42"/>
        <v>0</v>
      </c>
      <c r="E648" s="10">
        <f t="shared" si="43"/>
        <v>0</v>
      </c>
      <c r="W648" t="str">
        <f>IFERROR(MID(Проливка[[#This Row],[Штрихкод ]],1,FIND("-",Проливка[[#This Row],[Штрихкод ]],1)-1)," ")</f>
        <v xml:space="preserve"> </v>
      </c>
      <c r="X648" t="str">
        <f>IFERROR(RIGHT(Проливка[[#This Row],[Штрихкод ]],LEN(Проливка[[#This Row],[Штрихкод ]])-SEARCH("-",Проливка[[#This Row],[Штрихкод ]],1))," ")</f>
        <v xml:space="preserve"> </v>
      </c>
      <c r="Y648">
        <f>IFERROR(VLOOKUP(Проливка[[#This Row],[ID]]*1,'Срок хранения'!A648:B746,2,0),0)</f>
        <v>0</v>
      </c>
      <c r="Z648">
        <f>IFERROR(VLOOKUP(Проливка[[#This Row],[ID]]*1,'Срок хранения'!A648:C746,3,0),0)</f>
        <v>0</v>
      </c>
    </row>
    <row r="649" spans="1:26" x14ac:dyDescent="0.25">
      <c r="A649" s="9"/>
      <c r="B649" s="12" t="str">
        <f t="shared" si="41"/>
        <v xml:space="preserve"> </v>
      </c>
      <c r="C649" s="10" t="str">
        <f t="shared" si="40"/>
        <v xml:space="preserve"> </v>
      </c>
      <c r="D649" s="10">
        <f t="shared" si="42"/>
        <v>0</v>
      </c>
      <c r="E649" s="10">
        <f t="shared" si="43"/>
        <v>0</v>
      </c>
      <c r="W649" t="str">
        <f>IFERROR(MID(Проливка[[#This Row],[Штрихкод ]],1,FIND("-",Проливка[[#This Row],[Штрихкод ]],1)-1)," ")</f>
        <v xml:space="preserve"> </v>
      </c>
      <c r="X649" t="str">
        <f>IFERROR(RIGHT(Проливка[[#This Row],[Штрихкод ]],LEN(Проливка[[#This Row],[Штрихкод ]])-SEARCH("-",Проливка[[#This Row],[Штрихкод ]],1))," ")</f>
        <v xml:space="preserve"> </v>
      </c>
      <c r="Y649">
        <f>IFERROR(VLOOKUP(Проливка[[#This Row],[ID]]*1,'Срок хранения'!A649:B747,2,0),0)</f>
        <v>0</v>
      </c>
      <c r="Z649">
        <f>IFERROR(VLOOKUP(Проливка[[#This Row],[ID]]*1,'Срок хранения'!A649:C747,3,0),0)</f>
        <v>0</v>
      </c>
    </row>
    <row r="650" spans="1:26" x14ac:dyDescent="0.25">
      <c r="A650" s="9"/>
      <c r="B650" s="12" t="str">
        <f t="shared" si="41"/>
        <v xml:space="preserve"> </v>
      </c>
      <c r="C650" s="10" t="str">
        <f t="shared" si="40"/>
        <v xml:space="preserve"> </v>
      </c>
      <c r="D650" s="10">
        <f t="shared" si="42"/>
        <v>0</v>
      </c>
      <c r="E650" s="10">
        <f t="shared" si="43"/>
        <v>0</v>
      </c>
      <c r="W650" t="str">
        <f>IFERROR(MID(Проливка[[#This Row],[Штрихкод ]],1,FIND("-",Проливка[[#This Row],[Штрихкод ]],1)-1)," ")</f>
        <v xml:space="preserve"> </v>
      </c>
      <c r="X650" t="str">
        <f>IFERROR(RIGHT(Проливка[[#This Row],[Штрихкод ]],LEN(Проливка[[#This Row],[Штрихкод ]])-SEARCH("-",Проливка[[#This Row],[Штрихкод ]],1))," ")</f>
        <v xml:space="preserve"> </v>
      </c>
      <c r="Y650">
        <f>IFERROR(VLOOKUP(Проливка[[#This Row],[ID]]*1,'Срок хранения'!A650:B748,2,0),0)</f>
        <v>0</v>
      </c>
      <c r="Z650">
        <f>IFERROR(VLOOKUP(Проливка[[#This Row],[ID]]*1,'Срок хранения'!A650:C748,3,0),0)</f>
        <v>0</v>
      </c>
    </row>
    <row r="651" spans="1:26" x14ac:dyDescent="0.25">
      <c r="A651" s="9"/>
      <c r="B651" s="12" t="str">
        <f t="shared" si="41"/>
        <v xml:space="preserve"> </v>
      </c>
      <c r="C651" s="10" t="str">
        <f t="shared" si="40"/>
        <v xml:space="preserve"> </v>
      </c>
      <c r="D651" s="10">
        <f t="shared" si="42"/>
        <v>0</v>
      </c>
      <c r="E651" s="10">
        <f t="shared" si="43"/>
        <v>0</v>
      </c>
      <c r="W651" t="str">
        <f>IFERROR(MID(Проливка[[#This Row],[Штрихкод ]],1,FIND("-",Проливка[[#This Row],[Штрихкод ]],1)-1)," ")</f>
        <v xml:space="preserve"> </v>
      </c>
      <c r="X651" t="str">
        <f>IFERROR(RIGHT(Проливка[[#This Row],[Штрихкод ]],LEN(Проливка[[#This Row],[Штрихкод ]])-SEARCH("-",Проливка[[#This Row],[Штрихкод ]],1))," ")</f>
        <v xml:space="preserve"> </v>
      </c>
      <c r="Y651">
        <f>IFERROR(VLOOKUP(Проливка[[#This Row],[ID]]*1,'Срок хранения'!A651:B749,2,0),0)</f>
        <v>0</v>
      </c>
      <c r="Z651">
        <f>IFERROR(VLOOKUP(Проливка[[#This Row],[ID]]*1,'Срок хранения'!A651:C749,3,0),0)</f>
        <v>0</v>
      </c>
    </row>
    <row r="652" spans="1:26" x14ac:dyDescent="0.25">
      <c r="A652" s="9"/>
      <c r="B652" s="12" t="str">
        <f t="shared" si="41"/>
        <v xml:space="preserve"> </v>
      </c>
      <c r="C652" s="10" t="str">
        <f t="shared" si="40"/>
        <v xml:space="preserve"> </v>
      </c>
      <c r="D652" s="10">
        <f t="shared" si="42"/>
        <v>0</v>
      </c>
      <c r="E652" s="10">
        <f t="shared" si="43"/>
        <v>0</v>
      </c>
      <c r="W652" t="str">
        <f>IFERROR(MID(Проливка[[#This Row],[Штрихкод ]],1,FIND("-",Проливка[[#This Row],[Штрихкод ]],1)-1)," ")</f>
        <v xml:space="preserve"> </v>
      </c>
      <c r="X652" t="str">
        <f>IFERROR(RIGHT(Проливка[[#This Row],[Штрихкод ]],LEN(Проливка[[#This Row],[Штрихкод ]])-SEARCH("-",Проливка[[#This Row],[Штрихкод ]],1))," ")</f>
        <v xml:space="preserve"> </v>
      </c>
      <c r="Y652">
        <f>IFERROR(VLOOKUP(Проливка[[#This Row],[ID]]*1,'Срок хранения'!A652:B750,2,0),0)</f>
        <v>0</v>
      </c>
      <c r="Z652">
        <f>IFERROR(VLOOKUP(Проливка[[#This Row],[ID]]*1,'Срок хранения'!A652:C750,3,0),0)</f>
        <v>0</v>
      </c>
    </row>
    <row r="653" spans="1:26" x14ac:dyDescent="0.25">
      <c r="A653" s="9"/>
      <c r="B653" s="12" t="str">
        <f t="shared" si="41"/>
        <v xml:space="preserve"> </v>
      </c>
      <c r="C653" s="10" t="str">
        <f t="shared" si="40"/>
        <v xml:space="preserve"> </v>
      </c>
      <c r="D653" s="10">
        <f t="shared" si="42"/>
        <v>0</v>
      </c>
      <c r="E653" s="10">
        <f t="shared" si="43"/>
        <v>0</v>
      </c>
      <c r="W653" t="str">
        <f>IFERROR(MID(Проливка[[#This Row],[Штрихкод ]],1,FIND("-",Проливка[[#This Row],[Штрихкод ]],1)-1)," ")</f>
        <v xml:space="preserve"> </v>
      </c>
      <c r="X653" t="str">
        <f>IFERROR(RIGHT(Проливка[[#This Row],[Штрихкод ]],LEN(Проливка[[#This Row],[Штрихкод ]])-SEARCH("-",Проливка[[#This Row],[Штрихкод ]],1))," ")</f>
        <v xml:space="preserve"> </v>
      </c>
      <c r="Y653">
        <f>IFERROR(VLOOKUP(Проливка[[#This Row],[ID]]*1,'Срок хранения'!A653:B751,2,0),0)</f>
        <v>0</v>
      </c>
      <c r="Z653">
        <f>IFERROR(VLOOKUP(Проливка[[#This Row],[ID]]*1,'Срок хранения'!A653:C751,3,0),0)</f>
        <v>0</v>
      </c>
    </row>
    <row r="654" spans="1:26" x14ac:dyDescent="0.25">
      <c r="A654" s="9"/>
      <c r="B654" s="12" t="str">
        <f t="shared" si="41"/>
        <v xml:space="preserve"> </v>
      </c>
      <c r="C654" s="10" t="str">
        <f t="shared" si="40"/>
        <v xml:space="preserve"> </v>
      </c>
      <c r="D654" s="10">
        <f t="shared" si="42"/>
        <v>0</v>
      </c>
      <c r="E654" s="10">
        <f t="shared" si="43"/>
        <v>0</v>
      </c>
      <c r="W654" t="str">
        <f>IFERROR(MID(Проливка[[#This Row],[Штрихкод ]],1,FIND("-",Проливка[[#This Row],[Штрихкод ]],1)-1)," ")</f>
        <v xml:space="preserve"> </v>
      </c>
      <c r="X654" t="str">
        <f>IFERROR(RIGHT(Проливка[[#This Row],[Штрихкод ]],LEN(Проливка[[#This Row],[Штрихкод ]])-SEARCH("-",Проливка[[#This Row],[Штрихкод ]],1))," ")</f>
        <v xml:space="preserve"> </v>
      </c>
      <c r="Y654">
        <f>IFERROR(VLOOKUP(Проливка[[#This Row],[ID]]*1,'Срок хранения'!A654:B752,2,0),0)</f>
        <v>0</v>
      </c>
      <c r="Z654">
        <f>IFERROR(VLOOKUP(Проливка[[#This Row],[ID]]*1,'Срок хранения'!A654:C752,3,0),0)</f>
        <v>0</v>
      </c>
    </row>
    <row r="655" spans="1:26" x14ac:dyDescent="0.25">
      <c r="A655" s="9"/>
      <c r="B655" s="12" t="str">
        <f t="shared" si="41"/>
        <v xml:space="preserve"> </v>
      </c>
      <c r="C655" s="10" t="str">
        <f t="shared" si="40"/>
        <v xml:space="preserve"> </v>
      </c>
      <c r="D655" s="10">
        <f t="shared" si="42"/>
        <v>0</v>
      </c>
      <c r="E655" s="10">
        <f t="shared" si="43"/>
        <v>0</v>
      </c>
      <c r="W655" t="str">
        <f>IFERROR(MID(Проливка[[#This Row],[Штрихкод ]],1,FIND("-",Проливка[[#This Row],[Штрихкод ]],1)-1)," ")</f>
        <v xml:space="preserve"> </v>
      </c>
      <c r="X655" t="str">
        <f>IFERROR(RIGHT(Проливка[[#This Row],[Штрихкод ]],LEN(Проливка[[#This Row],[Штрихкод ]])-SEARCH("-",Проливка[[#This Row],[Штрихкод ]],1))," ")</f>
        <v xml:space="preserve"> </v>
      </c>
      <c r="Y655">
        <f>IFERROR(VLOOKUP(Проливка[[#This Row],[ID]]*1,'Срок хранения'!A655:B753,2,0),0)</f>
        <v>0</v>
      </c>
      <c r="Z655">
        <f>IFERROR(VLOOKUP(Проливка[[#This Row],[ID]]*1,'Срок хранения'!A655:C753,3,0),0)</f>
        <v>0</v>
      </c>
    </row>
    <row r="656" spans="1:26" x14ac:dyDescent="0.25">
      <c r="A656" s="9"/>
      <c r="B656" s="12" t="str">
        <f t="shared" si="41"/>
        <v xml:space="preserve"> </v>
      </c>
      <c r="C656" s="10" t="str">
        <f t="shared" si="40"/>
        <v xml:space="preserve"> </v>
      </c>
      <c r="D656" s="10">
        <f t="shared" si="42"/>
        <v>0</v>
      </c>
      <c r="E656" s="10">
        <f t="shared" si="43"/>
        <v>0</v>
      </c>
      <c r="W656" t="str">
        <f>IFERROR(MID(Проливка[[#This Row],[Штрихкод ]],1,FIND("-",Проливка[[#This Row],[Штрихкод ]],1)-1)," ")</f>
        <v xml:space="preserve"> </v>
      </c>
      <c r="X656" t="str">
        <f>IFERROR(RIGHT(Проливка[[#This Row],[Штрихкод ]],LEN(Проливка[[#This Row],[Штрихкод ]])-SEARCH("-",Проливка[[#This Row],[Штрихкод ]],1))," ")</f>
        <v xml:space="preserve"> </v>
      </c>
      <c r="Y656">
        <f>IFERROR(VLOOKUP(Проливка[[#This Row],[ID]]*1,'Срок хранения'!A656:B754,2,0),0)</f>
        <v>0</v>
      </c>
      <c r="Z656">
        <f>IFERROR(VLOOKUP(Проливка[[#This Row],[ID]]*1,'Срок хранения'!A656:C754,3,0),0)</f>
        <v>0</v>
      </c>
    </row>
    <row r="657" spans="1:26" x14ac:dyDescent="0.25">
      <c r="A657" s="9"/>
      <c r="B657" s="12" t="str">
        <f t="shared" si="41"/>
        <v xml:space="preserve"> </v>
      </c>
      <c r="C657" s="10" t="str">
        <f t="shared" si="40"/>
        <v xml:space="preserve"> </v>
      </c>
      <c r="D657" s="10">
        <f t="shared" si="42"/>
        <v>0</v>
      </c>
      <c r="E657" s="10">
        <f t="shared" si="43"/>
        <v>0</v>
      </c>
      <c r="W657" t="str">
        <f>IFERROR(MID(Проливка[[#This Row],[Штрихкод ]],1,FIND("-",Проливка[[#This Row],[Штрихкод ]],1)-1)," ")</f>
        <v xml:space="preserve"> </v>
      </c>
      <c r="X657" t="str">
        <f>IFERROR(RIGHT(Проливка[[#This Row],[Штрихкод ]],LEN(Проливка[[#This Row],[Штрихкод ]])-SEARCH("-",Проливка[[#This Row],[Штрихкод ]],1))," ")</f>
        <v xml:space="preserve"> </v>
      </c>
      <c r="Y657">
        <f>IFERROR(VLOOKUP(Проливка[[#This Row],[ID]]*1,'Срок хранения'!A657:B755,2,0),0)</f>
        <v>0</v>
      </c>
      <c r="Z657">
        <f>IFERROR(VLOOKUP(Проливка[[#This Row],[ID]]*1,'Срок хранения'!A657:C755,3,0),0)</f>
        <v>0</v>
      </c>
    </row>
    <row r="658" spans="1:26" x14ac:dyDescent="0.25">
      <c r="A658" s="9"/>
      <c r="B658" s="12" t="str">
        <f t="shared" si="41"/>
        <v xml:space="preserve"> </v>
      </c>
      <c r="C658" s="10" t="str">
        <f t="shared" si="40"/>
        <v xml:space="preserve"> </v>
      </c>
      <c r="D658" s="10">
        <f t="shared" si="42"/>
        <v>0</v>
      </c>
      <c r="E658" s="10">
        <f t="shared" si="43"/>
        <v>0</v>
      </c>
      <c r="W658" t="str">
        <f>IFERROR(MID(Проливка[[#This Row],[Штрихкод ]],1,FIND("-",Проливка[[#This Row],[Штрихкод ]],1)-1)," ")</f>
        <v xml:space="preserve"> </v>
      </c>
      <c r="X658" t="str">
        <f>IFERROR(RIGHT(Проливка[[#This Row],[Штрихкод ]],LEN(Проливка[[#This Row],[Штрихкод ]])-SEARCH("-",Проливка[[#This Row],[Штрихкод ]],1))," ")</f>
        <v xml:space="preserve"> </v>
      </c>
      <c r="Y658">
        <f>IFERROR(VLOOKUP(Проливка[[#This Row],[ID]]*1,'Срок хранения'!A658:B756,2,0),0)</f>
        <v>0</v>
      </c>
      <c r="Z658">
        <f>IFERROR(VLOOKUP(Проливка[[#This Row],[ID]]*1,'Срок хранения'!A658:C756,3,0),0)</f>
        <v>0</v>
      </c>
    </row>
    <row r="659" spans="1:26" x14ac:dyDescent="0.25">
      <c r="A659" s="9"/>
      <c r="B659" s="12" t="str">
        <f t="shared" si="41"/>
        <v xml:space="preserve"> </v>
      </c>
      <c r="C659" s="10" t="str">
        <f t="shared" si="40"/>
        <v xml:space="preserve"> </v>
      </c>
      <c r="D659" s="10">
        <f t="shared" si="42"/>
        <v>0</v>
      </c>
      <c r="E659" s="10">
        <f t="shared" si="43"/>
        <v>0</v>
      </c>
      <c r="W659" t="str">
        <f>IFERROR(MID(Проливка[[#This Row],[Штрихкод ]],1,FIND("-",Проливка[[#This Row],[Штрихкод ]],1)-1)," ")</f>
        <v xml:space="preserve"> </v>
      </c>
      <c r="X659" t="str">
        <f>IFERROR(RIGHT(Проливка[[#This Row],[Штрихкод ]],LEN(Проливка[[#This Row],[Штрихкод ]])-SEARCH("-",Проливка[[#This Row],[Штрихкод ]],1))," ")</f>
        <v xml:space="preserve"> </v>
      </c>
      <c r="Y659">
        <f>IFERROR(VLOOKUP(Проливка[[#This Row],[ID]]*1,'Срок хранения'!A659:B757,2,0),0)</f>
        <v>0</v>
      </c>
      <c r="Z659">
        <f>IFERROR(VLOOKUP(Проливка[[#This Row],[ID]]*1,'Срок хранения'!A659:C757,3,0),0)</f>
        <v>0</v>
      </c>
    </row>
    <row r="660" spans="1:26" x14ac:dyDescent="0.25">
      <c r="A660" s="9"/>
      <c r="B660" s="12" t="str">
        <f t="shared" si="41"/>
        <v xml:space="preserve"> </v>
      </c>
      <c r="C660" s="10" t="str">
        <f t="shared" si="40"/>
        <v xml:space="preserve"> </v>
      </c>
      <c r="D660" s="10">
        <f t="shared" si="42"/>
        <v>0</v>
      </c>
      <c r="E660" s="10">
        <f t="shared" si="43"/>
        <v>0</v>
      </c>
      <c r="W660" t="str">
        <f>IFERROR(MID(Проливка[[#This Row],[Штрихкод ]],1,FIND("-",Проливка[[#This Row],[Штрихкод ]],1)-1)," ")</f>
        <v xml:space="preserve"> </v>
      </c>
      <c r="X660" t="str">
        <f>IFERROR(RIGHT(Проливка[[#This Row],[Штрихкод ]],LEN(Проливка[[#This Row],[Штрихкод ]])-SEARCH("-",Проливка[[#This Row],[Штрихкод ]],1))," ")</f>
        <v xml:space="preserve"> </v>
      </c>
      <c r="Y660">
        <f>IFERROR(VLOOKUP(Проливка[[#This Row],[ID]]*1,'Срок хранения'!A660:B758,2,0),0)</f>
        <v>0</v>
      </c>
      <c r="Z660">
        <f>IFERROR(VLOOKUP(Проливка[[#This Row],[ID]]*1,'Срок хранения'!A660:C758,3,0),0)</f>
        <v>0</v>
      </c>
    </row>
    <row r="661" spans="1:26" x14ac:dyDescent="0.25">
      <c r="A661" s="9"/>
      <c r="B661" s="12" t="str">
        <f t="shared" si="41"/>
        <v xml:space="preserve"> </v>
      </c>
      <c r="C661" s="10" t="str">
        <f t="shared" si="40"/>
        <v xml:space="preserve"> </v>
      </c>
      <c r="D661" s="10">
        <f t="shared" si="42"/>
        <v>0</v>
      </c>
      <c r="E661" s="10">
        <f t="shared" si="43"/>
        <v>0</v>
      </c>
      <c r="W661" t="str">
        <f>IFERROR(MID(Проливка[[#This Row],[Штрихкод ]],1,FIND("-",Проливка[[#This Row],[Штрихкод ]],1)-1)," ")</f>
        <v xml:space="preserve"> </v>
      </c>
      <c r="X661" t="str">
        <f>IFERROR(RIGHT(Проливка[[#This Row],[Штрихкод ]],LEN(Проливка[[#This Row],[Штрихкод ]])-SEARCH("-",Проливка[[#This Row],[Штрихкод ]],1))," ")</f>
        <v xml:space="preserve"> </v>
      </c>
      <c r="Y661">
        <f>IFERROR(VLOOKUP(Проливка[[#This Row],[ID]]*1,'Срок хранения'!A661:B759,2,0),0)</f>
        <v>0</v>
      </c>
      <c r="Z661">
        <f>IFERROR(VLOOKUP(Проливка[[#This Row],[ID]]*1,'Срок хранения'!A661:C759,3,0),0)</f>
        <v>0</v>
      </c>
    </row>
    <row r="662" spans="1:26" x14ac:dyDescent="0.25">
      <c r="A662" s="9"/>
      <c r="B662" s="12" t="str">
        <f t="shared" si="41"/>
        <v xml:space="preserve"> </v>
      </c>
      <c r="C662" s="10" t="str">
        <f t="shared" si="40"/>
        <v xml:space="preserve"> </v>
      </c>
      <c r="D662" s="10">
        <f t="shared" si="42"/>
        <v>0</v>
      </c>
      <c r="E662" s="10">
        <f t="shared" si="43"/>
        <v>0</v>
      </c>
      <c r="W662" t="str">
        <f>IFERROR(MID(Проливка[[#This Row],[Штрихкод ]],1,FIND("-",Проливка[[#This Row],[Штрихкод ]],1)-1)," ")</f>
        <v xml:space="preserve"> </v>
      </c>
      <c r="X662" t="str">
        <f>IFERROR(RIGHT(Проливка[[#This Row],[Штрихкод ]],LEN(Проливка[[#This Row],[Штрихкод ]])-SEARCH("-",Проливка[[#This Row],[Штрихкод ]],1))," ")</f>
        <v xml:space="preserve"> </v>
      </c>
      <c r="Y662">
        <f>IFERROR(VLOOKUP(Проливка[[#This Row],[ID]]*1,'Срок хранения'!A662:B760,2,0),0)</f>
        <v>0</v>
      </c>
      <c r="Z662">
        <f>IFERROR(VLOOKUP(Проливка[[#This Row],[ID]]*1,'Срок хранения'!A662:C760,3,0),0)</f>
        <v>0</v>
      </c>
    </row>
    <row r="663" spans="1:26" x14ac:dyDescent="0.25">
      <c r="A663" s="9"/>
      <c r="B663" s="12" t="str">
        <f t="shared" si="41"/>
        <v xml:space="preserve"> </v>
      </c>
      <c r="C663" s="10" t="str">
        <f t="shared" si="40"/>
        <v xml:space="preserve"> </v>
      </c>
      <c r="D663" s="10">
        <f t="shared" si="42"/>
        <v>0</v>
      </c>
      <c r="E663" s="10">
        <f t="shared" si="43"/>
        <v>0</v>
      </c>
      <c r="W663" t="str">
        <f>IFERROR(MID(Проливка[[#This Row],[Штрихкод ]],1,FIND("-",Проливка[[#This Row],[Штрихкод ]],1)-1)," ")</f>
        <v xml:space="preserve"> </v>
      </c>
      <c r="X663" t="str">
        <f>IFERROR(RIGHT(Проливка[[#This Row],[Штрихкод ]],LEN(Проливка[[#This Row],[Штрихкод ]])-SEARCH("-",Проливка[[#This Row],[Штрихкод ]],1))," ")</f>
        <v xml:space="preserve"> </v>
      </c>
      <c r="Y663">
        <f>IFERROR(VLOOKUP(Проливка[[#This Row],[ID]]*1,'Срок хранения'!A663:B761,2,0),0)</f>
        <v>0</v>
      </c>
      <c r="Z663">
        <f>IFERROR(VLOOKUP(Проливка[[#This Row],[ID]]*1,'Срок хранения'!A663:C761,3,0),0)</f>
        <v>0</v>
      </c>
    </row>
    <row r="664" spans="1:26" x14ac:dyDescent="0.25">
      <c r="A664" s="9"/>
      <c r="B664" s="12" t="str">
        <f t="shared" si="41"/>
        <v xml:space="preserve"> </v>
      </c>
      <c r="C664" s="10" t="str">
        <f t="shared" si="40"/>
        <v xml:space="preserve"> </v>
      </c>
      <c r="D664" s="10">
        <f t="shared" si="42"/>
        <v>0</v>
      </c>
      <c r="E664" s="10">
        <f t="shared" si="43"/>
        <v>0</v>
      </c>
      <c r="W664" t="str">
        <f>IFERROR(MID(Проливка[[#This Row],[Штрихкод ]],1,FIND("-",Проливка[[#This Row],[Штрихкод ]],1)-1)," ")</f>
        <v xml:space="preserve"> </v>
      </c>
      <c r="X664" t="str">
        <f>IFERROR(RIGHT(Проливка[[#This Row],[Штрихкод ]],LEN(Проливка[[#This Row],[Штрихкод ]])-SEARCH("-",Проливка[[#This Row],[Штрихкод ]],1))," ")</f>
        <v xml:space="preserve"> </v>
      </c>
      <c r="Y664">
        <f>IFERROR(VLOOKUP(Проливка[[#This Row],[ID]]*1,'Срок хранения'!A664:B762,2,0),0)</f>
        <v>0</v>
      </c>
      <c r="Z664">
        <f>IFERROR(VLOOKUP(Проливка[[#This Row],[ID]]*1,'Срок хранения'!A664:C762,3,0),0)</f>
        <v>0</v>
      </c>
    </row>
    <row r="665" spans="1:26" x14ac:dyDescent="0.25">
      <c r="A665" s="9"/>
      <c r="B665" s="12" t="str">
        <f t="shared" si="41"/>
        <v xml:space="preserve"> </v>
      </c>
      <c r="C665" s="10" t="str">
        <f t="shared" si="40"/>
        <v xml:space="preserve"> </v>
      </c>
      <c r="D665" s="10">
        <f t="shared" si="42"/>
        <v>0</v>
      </c>
      <c r="E665" s="10">
        <f t="shared" si="43"/>
        <v>0</v>
      </c>
      <c r="W665" t="str">
        <f>IFERROR(MID(Проливка[[#This Row],[Штрихкод ]],1,FIND("-",Проливка[[#This Row],[Штрихкод ]],1)-1)," ")</f>
        <v xml:space="preserve"> </v>
      </c>
      <c r="X665" t="str">
        <f>IFERROR(RIGHT(Проливка[[#This Row],[Штрихкод ]],LEN(Проливка[[#This Row],[Штрихкод ]])-SEARCH("-",Проливка[[#This Row],[Штрихкод ]],1))," ")</f>
        <v xml:space="preserve"> </v>
      </c>
      <c r="Y665">
        <f>IFERROR(VLOOKUP(Проливка[[#This Row],[ID]]*1,'Срок хранения'!A665:B763,2,0),0)</f>
        <v>0</v>
      </c>
      <c r="Z665">
        <f>IFERROR(VLOOKUP(Проливка[[#This Row],[ID]]*1,'Срок хранения'!A665:C763,3,0),0)</f>
        <v>0</v>
      </c>
    </row>
    <row r="666" spans="1:26" x14ac:dyDescent="0.25">
      <c r="A666" s="9"/>
      <c r="B666" s="12" t="str">
        <f t="shared" si="41"/>
        <v xml:space="preserve"> </v>
      </c>
      <c r="C666" s="10" t="str">
        <f t="shared" si="40"/>
        <v xml:space="preserve"> </v>
      </c>
      <c r="D666" s="10">
        <f t="shared" si="42"/>
        <v>0</v>
      </c>
      <c r="E666" s="10">
        <f t="shared" si="43"/>
        <v>0</v>
      </c>
      <c r="W666" t="str">
        <f>IFERROR(MID(Проливка[[#This Row],[Штрихкод ]],1,FIND("-",Проливка[[#This Row],[Штрихкод ]],1)-1)," ")</f>
        <v xml:space="preserve"> </v>
      </c>
      <c r="X666" t="str">
        <f>IFERROR(RIGHT(Проливка[[#This Row],[Штрихкод ]],LEN(Проливка[[#This Row],[Штрихкод ]])-SEARCH("-",Проливка[[#This Row],[Штрихкод ]],1))," ")</f>
        <v xml:space="preserve"> </v>
      </c>
      <c r="Y666">
        <f>IFERROR(VLOOKUP(Проливка[[#This Row],[ID]]*1,'Срок хранения'!A666:B764,2,0),0)</f>
        <v>0</v>
      </c>
      <c r="Z666">
        <f>IFERROR(VLOOKUP(Проливка[[#This Row],[ID]]*1,'Срок хранения'!A666:C764,3,0),0)</f>
        <v>0</v>
      </c>
    </row>
    <row r="667" spans="1:26" x14ac:dyDescent="0.25">
      <c r="A667" s="9"/>
      <c r="B667" s="12" t="str">
        <f t="shared" si="41"/>
        <v xml:space="preserve"> </v>
      </c>
      <c r="C667" s="10" t="str">
        <f t="shared" si="40"/>
        <v xml:space="preserve"> </v>
      </c>
      <c r="D667" s="10">
        <f t="shared" si="42"/>
        <v>0</v>
      </c>
      <c r="E667" s="10">
        <f t="shared" si="43"/>
        <v>0</v>
      </c>
      <c r="W667" t="str">
        <f>IFERROR(MID(Проливка[[#This Row],[Штрихкод ]],1,FIND("-",Проливка[[#This Row],[Штрихкод ]],1)-1)," ")</f>
        <v xml:space="preserve"> </v>
      </c>
      <c r="X667" t="str">
        <f>IFERROR(RIGHT(Проливка[[#This Row],[Штрихкод ]],LEN(Проливка[[#This Row],[Штрихкод ]])-SEARCH("-",Проливка[[#This Row],[Штрихкод ]],1))," ")</f>
        <v xml:space="preserve"> </v>
      </c>
      <c r="Y667">
        <f>IFERROR(VLOOKUP(Проливка[[#This Row],[ID]]*1,'Срок хранения'!A667:B765,2,0),0)</f>
        <v>0</v>
      </c>
      <c r="Z667">
        <f>IFERROR(VLOOKUP(Проливка[[#This Row],[ID]]*1,'Срок хранения'!A667:C765,3,0),0)</f>
        <v>0</v>
      </c>
    </row>
    <row r="668" spans="1:26" x14ac:dyDescent="0.25">
      <c r="A668" s="9"/>
      <c r="B668" s="12" t="str">
        <f t="shared" si="41"/>
        <v xml:space="preserve"> </v>
      </c>
      <c r="C668" s="10" t="str">
        <f t="shared" si="40"/>
        <v xml:space="preserve"> </v>
      </c>
      <c r="D668" s="10">
        <f t="shared" si="42"/>
        <v>0</v>
      </c>
      <c r="E668" s="10">
        <f t="shared" si="43"/>
        <v>0</v>
      </c>
      <c r="W668" t="str">
        <f>IFERROR(MID(Проливка[[#This Row],[Штрихкод ]],1,FIND("-",Проливка[[#This Row],[Штрихкод ]],1)-1)," ")</f>
        <v xml:space="preserve"> </v>
      </c>
      <c r="X668" t="str">
        <f>IFERROR(RIGHT(Проливка[[#This Row],[Штрихкод ]],LEN(Проливка[[#This Row],[Штрихкод ]])-SEARCH("-",Проливка[[#This Row],[Штрихкод ]],1))," ")</f>
        <v xml:space="preserve"> </v>
      </c>
      <c r="Y668">
        <f>IFERROR(VLOOKUP(Проливка[[#This Row],[ID]]*1,'Срок хранения'!A668:B766,2,0),0)</f>
        <v>0</v>
      </c>
      <c r="Z668">
        <f>IFERROR(VLOOKUP(Проливка[[#This Row],[ID]]*1,'Срок хранения'!A668:C766,3,0),0)</f>
        <v>0</v>
      </c>
    </row>
    <row r="669" spans="1:26" x14ac:dyDescent="0.25">
      <c r="A669" s="9"/>
      <c r="B669" s="12" t="str">
        <f t="shared" si="41"/>
        <v xml:space="preserve"> </v>
      </c>
      <c r="C669" s="10" t="str">
        <f t="shared" si="40"/>
        <v xml:space="preserve"> </v>
      </c>
      <c r="D669" s="10">
        <f t="shared" si="42"/>
        <v>0</v>
      </c>
      <c r="E669" s="10">
        <f t="shared" si="43"/>
        <v>0</v>
      </c>
      <c r="W669" t="str">
        <f>IFERROR(MID(Проливка[[#This Row],[Штрихкод ]],1,FIND("-",Проливка[[#This Row],[Штрихкод ]],1)-1)," ")</f>
        <v xml:space="preserve"> </v>
      </c>
      <c r="X669" t="str">
        <f>IFERROR(RIGHT(Проливка[[#This Row],[Штрихкод ]],LEN(Проливка[[#This Row],[Штрихкод ]])-SEARCH("-",Проливка[[#This Row],[Штрихкод ]],1))," ")</f>
        <v xml:space="preserve"> </v>
      </c>
      <c r="Y669">
        <f>IFERROR(VLOOKUP(Проливка[[#This Row],[ID]]*1,'Срок хранения'!A669:B767,2,0),0)</f>
        <v>0</v>
      </c>
      <c r="Z669">
        <f>IFERROR(VLOOKUP(Проливка[[#This Row],[ID]]*1,'Срок хранения'!A669:C767,3,0),0)</f>
        <v>0</v>
      </c>
    </row>
    <row r="670" spans="1:26" x14ac:dyDescent="0.25">
      <c r="A670" s="9"/>
      <c r="B670" s="12" t="str">
        <f t="shared" si="41"/>
        <v xml:space="preserve"> </v>
      </c>
      <c r="C670" s="10" t="str">
        <f t="shared" si="40"/>
        <v xml:space="preserve"> </v>
      </c>
      <c r="D670" s="10">
        <f t="shared" si="42"/>
        <v>0</v>
      </c>
      <c r="E670" s="10">
        <f t="shared" si="43"/>
        <v>0</v>
      </c>
      <c r="W670" t="str">
        <f>IFERROR(MID(Проливка[[#This Row],[Штрихкод ]],1,FIND("-",Проливка[[#This Row],[Штрихкод ]],1)-1)," ")</f>
        <v xml:space="preserve"> </v>
      </c>
      <c r="X670" t="str">
        <f>IFERROR(RIGHT(Проливка[[#This Row],[Штрихкод ]],LEN(Проливка[[#This Row],[Штрихкод ]])-SEARCH("-",Проливка[[#This Row],[Штрихкод ]],1))," ")</f>
        <v xml:space="preserve"> </v>
      </c>
      <c r="Y670">
        <f>IFERROR(VLOOKUP(Проливка[[#This Row],[ID]]*1,'Срок хранения'!A670:B768,2,0),0)</f>
        <v>0</v>
      </c>
      <c r="Z670">
        <f>IFERROR(VLOOKUP(Проливка[[#This Row],[ID]]*1,'Срок хранения'!A670:C768,3,0),0)</f>
        <v>0</v>
      </c>
    </row>
    <row r="671" spans="1:26" x14ac:dyDescent="0.25">
      <c r="A671" s="9"/>
      <c r="B671" s="12" t="str">
        <f t="shared" si="41"/>
        <v xml:space="preserve"> </v>
      </c>
      <c r="C671" s="10" t="str">
        <f t="shared" si="40"/>
        <v xml:space="preserve"> </v>
      </c>
      <c r="D671" s="10">
        <f t="shared" si="42"/>
        <v>0</v>
      </c>
      <c r="E671" s="10">
        <f t="shared" si="43"/>
        <v>0</v>
      </c>
      <c r="W671" t="str">
        <f>IFERROR(MID(Проливка[[#This Row],[Штрихкод ]],1,FIND("-",Проливка[[#This Row],[Штрихкод ]],1)-1)," ")</f>
        <v xml:space="preserve"> </v>
      </c>
      <c r="X671" t="str">
        <f>IFERROR(RIGHT(Проливка[[#This Row],[Штрихкод ]],LEN(Проливка[[#This Row],[Штрихкод ]])-SEARCH("-",Проливка[[#This Row],[Штрихкод ]],1))," ")</f>
        <v xml:space="preserve"> </v>
      </c>
      <c r="Y671">
        <f>IFERROR(VLOOKUP(Проливка[[#This Row],[ID]]*1,'Срок хранения'!A671:B769,2,0),0)</f>
        <v>0</v>
      </c>
      <c r="Z671">
        <f>IFERROR(VLOOKUP(Проливка[[#This Row],[ID]]*1,'Срок хранения'!A671:C769,3,0),0)</f>
        <v>0</v>
      </c>
    </row>
    <row r="672" spans="1:26" x14ac:dyDescent="0.25">
      <c r="A672" s="9"/>
      <c r="B672" s="12" t="str">
        <f t="shared" si="41"/>
        <v xml:space="preserve"> </v>
      </c>
      <c r="C672" s="10" t="str">
        <f t="shared" si="40"/>
        <v xml:space="preserve"> </v>
      </c>
      <c r="D672" s="10">
        <f t="shared" si="42"/>
        <v>0</v>
      </c>
      <c r="E672" s="10">
        <f t="shared" si="43"/>
        <v>0</v>
      </c>
      <c r="W672" t="str">
        <f>IFERROR(MID(Проливка[[#This Row],[Штрихкод ]],1,FIND("-",Проливка[[#This Row],[Штрихкод ]],1)-1)," ")</f>
        <v xml:space="preserve"> </v>
      </c>
      <c r="X672" t="str">
        <f>IFERROR(RIGHT(Проливка[[#This Row],[Штрихкод ]],LEN(Проливка[[#This Row],[Штрихкод ]])-SEARCH("-",Проливка[[#This Row],[Штрихкод ]],1))," ")</f>
        <v xml:space="preserve"> </v>
      </c>
      <c r="Y672">
        <f>IFERROR(VLOOKUP(Проливка[[#This Row],[ID]]*1,'Срок хранения'!A672:B770,2,0),0)</f>
        <v>0</v>
      </c>
      <c r="Z672">
        <f>IFERROR(VLOOKUP(Проливка[[#This Row],[ID]]*1,'Срок хранения'!A672:C770,3,0),0)</f>
        <v>0</v>
      </c>
    </row>
    <row r="673" spans="1:26" x14ac:dyDescent="0.25">
      <c r="A673" s="9"/>
      <c r="B673" s="12" t="str">
        <f t="shared" si="41"/>
        <v xml:space="preserve"> </v>
      </c>
      <c r="C673" s="10" t="str">
        <f t="shared" si="40"/>
        <v xml:space="preserve"> </v>
      </c>
      <c r="D673" s="10">
        <f t="shared" si="42"/>
        <v>0</v>
      </c>
      <c r="E673" s="10">
        <f t="shared" si="43"/>
        <v>0</v>
      </c>
      <c r="W673" t="str">
        <f>IFERROR(MID(Проливка[[#This Row],[Штрихкод ]],1,FIND("-",Проливка[[#This Row],[Штрихкод ]],1)-1)," ")</f>
        <v xml:space="preserve"> </v>
      </c>
      <c r="X673" t="str">
        <f>IFERROR(RIGHT(Проливка[[#This Row],[Штрихкод ]],LEN(Проливка[[#This Row],[Штрихкод ]])-SEARCH("-",Проливка[[#This Row],[Штрихкод ]],1))," ")</f>
        <v xml:space="preserve"> </v>
      </c>
      <c r="Y673">
        <f>IFERROR(VLOOKUP(Проливка[[#This Row],[ID]]*1,'Срок хранения'!A673:B771,2,0),0)</f>
        <v>0</v>
      </c>
      <c r="Z673">
        <f>IFERROR(VLOOKUP(Проливка[[#This Row],[ID]]*1,'Срок хранения'!A673:C771,3,0),0)</f>
        <v>0</v>
      </c>
    </row>
    <row r="674" spans="1:26" x14ac:dyDescent="0.25">
      <c r="A674" s="9"/>
      <c r="B674" s="12" t="str">
        <f t="shared" si="41"/>
        <v xml:space="preserve"> </v>
      </c>
      <c r="C674" s="10" t="str">
        <f t="shared" si="40"/>
        <v xml:space="preserve"> </v>
      </c>
      <c r="D674" s="10">
        <f t="shared" si="42"/>
        <v>0</v>
      </c>
      <c r="E674" s="10">
        <f t="shared" si="43"/>
        <v>0</v>
      </c>
      <c r="W674" t="str">
        <f>IFERROR(MID(Проливка[[#This Row],[Штрихкод ]],1,FIND("-",Проливка[[#This Row],[Штрихкод ]],1)-1)," ")</f>
        <v xml:space="preserve"> </v>
      </c>
      <c r="X674" t="str">
        <f>IFERROR(RIGHT(Проливка[[#This Row],[Штрихкод ]],LEN(Проливка[[#This Row],[Штрихкод ]])-SEARCH("-",Проливка[[#This Row],[Штрихкод ]],1))," ")</f>
        <v xml:space="preserve"> </v>
      </c>
      <c r="Y674">
        <f>IFERROR(VLOOKUP(Проливка[[#This Row],[ID]]*1,'Срок хранения'!A674:B772,2,0),0)</f>
        <v>0</v>
      </c>
      <c r="Z674">
        <f>IFERROR(VLOOKUP(Проливка[[#This Row],[ID]]*1,'Срок хранения'!A674:C772,3,0),0)</f>
        <v>0</v>
      </c>
    </row>
    <row r="675" spans="1:26" x14ac:dyDescent="0.25">
      <c r="A675" s="9"/>
      <c r="B675" s="12" t="str">
        <f t="shared" si="41"/>
        <v xml:space="preserve"> </v>
      </c>
      <c r="C675" s="10" t="str">
        <f t="shared" si="40"/>
        <v xml:space="preserve"> </v>
      </c>
      <c r="D675" s="10">
        <f t="shared" si="42"/>
        <v>0</v>
      </c>
      <c r="E675" s="10">
        <f t="shared" si="43"/>
        <v>0</v>
      </c>
      <c r="W675" t="str">
        <f>IFERROR(MID(Проливка[[#This Row],[Штрихкод ]],1,FIND("-",Проливка[[#This Row],[Штрихкод ]],1)-1)," ")</f>
        <v xml:space="preserve"> </v>
      </c>
      <c r="X675" t="str">
        <f>IFERROR(RIGHT(Проливка[[#This Row],[Штрихкод ]],LEN(Проливка[[#This Row],[Штрихкод ]])-SEARCH("-",Проливка[[#This Row],[Штрихкод ]],1))," ")</f>
        <v xml:space="preserve"> </v>
      </c>
      <c r="Y675">
        <f>IFERROR(VLOOKUP(Проливка[[#This Row],[ID]]*1,'Срок хранения'!A675:B773,2,0),0)</f>
        <v>0</v>
      </c>
      <c r="Z675">
        <f>IFERROR(VLOOKUP(Проливка[[#This Row],[ID]]*1,'Срок хранения'!A675:C773,3,0),0)</f>
        <v>0</v>
      </c>
    </row>
    <row r="676" spans="1:26" x14ac:dyDescent="0.25">
      <c r="A676" s="9"/>
      <c r="B676" s="12" t="str">
        <f t="shared" si="41"/>
        <v xml:space="preserve"> </v>
      </c>
      <c r="C676" s="10" t="str">
        <f t="shared" si="40"/>
        <v xml:space="preserve"> </v>
      </c>
      <c r="D676" s="10">
        <f t="shared" si="42"/>
        <v>0</v>
      </c>
      <c r="E676" s="10">
        <f t="shared" si="43"/>
        <v>0</v>
      </c>
      <c r="W676" t="str">
        <f>IFERROR(MID(Проливка[[#This Row],[Штрихкод ]],1,FIND("-",Проливка[[#This Row],[Штрихкод ]],1)-1)," ")</f>
        <v xml:space="preserve"> </v>
      </c>
      <c r="X676" t="str">
        <f>IFERROR(RIGHT(Проливка[[#This Row],[Штрихкод ]],LEN(Проливка[[#This Row],[Штрихкод ]])-SEARCH("-",Проливка[[#This Row],[Штрихкод ]],1))," ")</f>
        <v xml:space="preserve"> </v>
      </c>
      <c r="Y676">
        <f>IFERROR(VLOOKUP(Проливка[[#This Row],[ID]]*1,'Срок хранения'!A676:B774,2,0),0)</f>
        <v>0</v>
      </c>
      <c r="Z676">
        <f>IFERROR(VLOOKUP(Проливка[[#This Row],[ID]]*1,'Срок хранения'!A676:C774,3,0),0)</f>
        <v>0</v>
      </c>
    </row>
    <row r="677" spans="1:26" x14ac:dyDescent="0.25">
      <c r="A677" s="9"/>
      <c r="B677" s="12" t="str">
        <f t="shared" si="41"/>
        <v xml:space="preserve"> </v>
      </c>
      <c r="C677" s="10" t="str">
        <f t="shared" si="40"/>
        <v xml:space="preserve"> </v>
      </c>
      <c r="D677" s="10">
        <f t="shared" si="42"/>
        <v>0</v>
      </c>
      <c r="E677" s="10">
        <f t="shared" si="43"/>
        <v>0</v>
      </c>
      <c r="W677" t="str">
        <f>IFERROR(MID(Проливка[[#This Row],[Штрихкод ]],1,FIND("-",Проливка[[#This Row],[Штрихкод ]],1)-1)," ")</f>
        <v xml:space="preserve"> </v>
      </c>
      <c r="X677" t="str">
        <f>IFERROR(RIGHT(Проливка[[#This Row],[Штрихкод ]],LEN(Проливка[[#This Row],[Штрихкод ]])-SEARCH("-",Проливка[[#This Row],[Штрихкод ]],1))," ")</f>
        <v xml:space="preserve"> </v>
      </c>
      <c r="Y677">
        <f>IFERROR(VLOOKUP(Проливка[[#This Row],[ID]]*1,'Срок хранения'!A677:B775,2,0),0)</f>
        <v>0</v>
      </c>
      <c r="Z677">
        <f>IFERROR(VLOOKUP(Проливка[[#This Row],[ID]]*1,'Срок хранения'!A677:C775,3,0),0)</f>
        <v>0</v>
      </c>
    </row>
    <row r="678" spans="1:26" x14ac:dyDescent="0.25">
      <c r="A678" s="9"/>
      <c r="B678" s="12" t="str">
        <f t="shared" si="41"/>
        <v xml:space="preserve"> </v>
      </c>
      <c r="C678" s="10" t="str">
        <f t="shared" si="40"/>
        <v xml:space="preserve"> </v>
      </c>
      <c r="D678" s="10">
        <f t="shared" si="42"/>
        <v>0</v>
      </c>
      <c r="E678" s="10">
        <f t="shared" si="43"/>
        <v>0</v>
      </c>
      <c r="W678" t="str">
        <f>IFERROR(MID(Проливка[[#This Row],[Штрихкод ]],1,FIND("-",Проливка[[#This Row],[Штрихкод ]],1)-1)," ")</f>
        <v xml:space="preserve"> </v>
      </c>
      <c r="X678" t="str">
        <f>IFERROR(RIGHT(Проливка[[#This Row],[Штрихкод ]],LEN(Проливка[[#This Row],[Штрихкод ]])-SEARCH("-",Проливка[[#This Row],[Штрихкод ]],1))," ")</f>
        <v xml:space="preserve"> </v>
      </c>
      <c r="Y678">
        <f>IFERROR(VLOOKUP(Проливка[[#This Row],[ID]]*1,'Срок хранения'!A678:B776,2,0),0)</f>
        <v>0</v>
      </c>
      <c r="Z678">
        <f>IFERROR(VLOOKUP(Проливка[[#This Row],[ID]]*1,'Срок хранения'!A678:C776,3,0),0)</f>
        <v>0</v>
      </c>
    </row>
    <row r="679" spans="1:26" x14ac:dyDescent="0.25">
      <c r="A679" s="9"/>
      <c r="B679" s="12" t="str">
        <f t="shared" si="41"/>
        <v xml:space="preserve"> </v>
      </c>
      <c r="C679" s="10" t="str">
        <f t="shared" si="40"/>
        <v xml:space="preserve"> </v>
      </c>
      <c r="D679" s="10">
        <f t="shared" si="42"/>
        <v>0</v>
      </c>
      <c r="E679" s="10">
        <f t="shared" si="43"/>
        <v>0</v>
      </c>
      <c r="W679" t="str">
        <f>IFERROR(MID(Проливка[[#This Row],[Штрихкод ]],1,FIND("-",Проливка[[#This Row],[Штрихкод ]],1)-1)," ")</f>
        <v xml:space="preserve"> </v>
      </c>
      <c r="X679" t="str">
        <f>IFERROR(RIGHT(Проливка[[#This Row],[Штрихкод ]],LEN(Проливка[[#This Row],[Штрихкод ]])-SEARCH("-",Проливка[[#This Row],[Штрихкод ]],1))," ")</f>
        <v xml:space="preserve"> </v>
      </c>
      <c r="Y679">
        <f>IFERROR(VLOOKUP(Проливка[[#This Row],[ID]]*1,'Срок хранения'!A679:B777,2,0),0)</f>
        <v>0</v>
      </c>
      <c r="Z679">
        <f>IFERROR(VLOOKUP(Проливка[[#This Row],[ID]]*1,'Срок хранения'!A679:C777,3,0),0)</f>
        <v>0</v>
      </c>
    </row>
    <row r="680" spans="1:26" x14ac:dyDescent="0.25">
      <c r="A680" s="9"/>
      <c r="B680" s="12" t="str">
        <f t="shared" si="41"/>
        <v xml:space="preserve"> </v>
      </c>
      <c r="C680" s="10" t="str">
        <f t="shared" si="40"/>
        <v xml:space="preserve"> </v>
      </c>
      <c r="D680" s="10">
        <f t="shared" si="42"/>
        <v>0</v>
      </c>
      <c r="E680" s="10">
        <f t="shared" si="43"/>
        <v>0</v>
      </c>
      <c r="W680" t="str">
        <f>IFERROR(MID(Проливка[[#This Row],[Штрихкод ]],1,FIND("-",Проливка[[#This Row],[Штрихкод ]],1)-1)," ")</f>
        <v xml:space="preserve"> </v>
      </c>
      <c r="X680" t="str">
        <f>IFERROR(RIGHT(Проливка[[#This Row],[Штрихкод ]],LEN(Проливка[[#This Row],[Штрихкод ]])-SEARCH("-",Проливка[[#This Row],[Штрихкод ]],1))," ")</f>
        <v xml:space="preserve"> </v>
      </c>
      <c r="Y680">
        <f>IFERROR(VLOOKUP(Проливка[[#This Row],[ID]]*1,'Срок хранения'!A680:B778,2,0),0)</f>
        <v>0</v>
      </c>
      <c r="Z680">
        <f>IFERROR(VLOOKUP(Проливка[[#This Row],[ID]]*1,'Срок хранения'!A680:C778,3,0),0)</f>
        <v>0</v>
      </c>
    </row>
    <row r="681" spans="1:26" x14ac:dyDescent="0.25">
      <c r="A681" s="9"/>
      <c r="B681" s="12" t="str">
        <f t="shared" si="41"/>
        <v xml:space="preserve"> </v>
      </c>
      <c r="C681" s="10" t="str">
        <f t="shared" si="40"/>
        <v xml:space="preserve"> </v>
      </c>
      <c r="D681" s="10">
        <f t="shared" si="42"/>
        <v>0</v>
      </c>
      <c r="E681" s="10">
        <f t="shared" si="43"/>
        <v>0</v>
      </c>
      <c r="W681" t="str">
        <f>IFERROR(MID(Проливка[[#This Row],[Штрихкод ]],1,FIND("-",Проливка[[#This Row],[Штрихкод ]],1)-1)," ")</f>
        <v xml:space="preserve"> </v>
      </c>
      <c r="X681" t="str">
        <f>IFERROR(RIGHT(Проливка[[#This Row],[Штрихкод ]],LEN(Проливка[[#This Row],[Штрихкод ]])-SEARCH("-",Проливка[[#This Row],[Штрихкод ]],1))," ")</f>
        <v xml:space="preserve"> </v>
      </c>
      <c r="Y681">
        <f>IFERROR(VLOOKUP(Проливка[[#This Row],[ID]]*1,'Срок хранения'!A681:B779,2,0),0)</f>
        <v>0</v>
      </c>
      <c r="Z681">
        <f>IFERROR(VLOOKUP(Проливка[[#This Row],[ID]]*1,'Срок хранения'!A681:C779,3,0),0)</f>
        <v>0</v>
      </c>
    </row>
    <row r="682" spans="1:26" x14ac:dyDescent="0.25">
      <c r="A682" s="9"/>
      <c r="B682" s="12" t="str">
        <f t="shared" si="41"/>
        <v xml:space="preserve"> </v>
      </c>
      <c r="C682" s="10" t="str">
        <f t="shared" si="40"/>
        <v xml:space="preserve"> </v>
      </c>
      <c r="D682" s="10">
        <f t="shared" si="42"/>
        <v>0</v>
      </c>
      <c r="E682" s="10">
        <f t="shared" si="43"/>
        <v>0</v>
      </c>
      <c r="W682" t="str">
        <f>IFERROR(MID(Проливка[[#This Row],[Штрихкод ]],1,FIND("-",Проливка[[#This Row],[Штрихкод ]],1)-1)," ")</f>
        <v xml:space="preserve"> </v>
      </c>
      <c r="X682" t="str">
        <f>IFERROR(RIGHT(Проливка[[#This Row],[Штрихкод ]],LEN(Проливка[[#This Row],[Штрихкод ]])-SEARCH("-",Проливка[[#This Row],[Штрихкод ]],1))," ")</f>
        <v xml:space="preserve"> </v>
      </c>
      <c r="Y682">
        <f>IFERROR(VLOOKUP(Проливка[[#This Row],[ID]]*1,'Срок хранения'!A682:B780,2,0),0)</f>
        <v>0</v>
      </c>
      <c r="Z682">
        <f>IFERROR(VLOOKUP(Проливка[[#This Row],[ID]]*1,'Срок хранения'!A682:C780,3,0),0)</f>
        <v>0</v>
      </c>
    </row>
    <row r="683" spans="1:26" x14ac:dyDescent="0.25">
      <c r="A683" s="9"/>
      <c r="B683" s="12" t="str">
        <f t="shared" si="41"/>
        <v xml:space="preserve"> </v>
      </c>
      <c r="C683" s="10" t="str">
        <f t="shared" si="40"/>
        <v xml:space="preserve"> </v>
      </c>
      <c r="D683" s="10">
        <f t="shared" si="42"/>
        <v>0</v>
      </c>
      <c r="E683" s="10">
        <f t="shared" si="43"/>
        <v>0</v>
      </c>
      <c r="W683" t="str">
        <f>IFERROR(MID(Проливка[[#This Row],[Штрихкод ]],1,FIND("-",Проливка[[#This Row],[Штрихкод ]],1)-1)," ")</f>
        <v xml:space="preserve"> </v>
      </c>
      <c r="X683" t="str">
        <f>IFERROR(RIGHT(Проливка[[#This Row],[Штрихкод ]],LEN(Проливка[[#This Row],[Штрихкод ]])-SEARCH("-",Проливка[[#This Row],[Штрихкод ]],1))," ")</f>
        <v xml:space="preserve"> </v>
      </c>
      <c r="Y683">
        <f>IFERROR(VLOOKUP(Проливка[[#This Row],[ID]]*1,'Срок хранения'!A683:B781,2,0),0)</f>
        <v>0</v>
      </c>
      <c r="Z683">
        <f>IFERROR(VLOOKUP(Проливка[[#This Row],[ID]]*1,'Срок хранения'!A683:C781,3,0),0)</f>
        <v>0</v>
      </c>
    </row>
    <row r="684" spans="1:26" x14ac:dyDescent="0.25">
      <c r="A684" s="9"/>
      <c r="B684" s="12" t="str">
        <f t="shared" si="41"/>
        <v xml:space="preserve"> </v>
      </c>
      <c r="C684" s="10" t="str">
        <f t="shared" si="40"/>
        <v xml:space="preserve"> </v>
      </c>
      <c r="D684" s="10">
        <f t="shared" si="42"/>
        <v>0</v>
      </c>
      <c r="E684" s="10">
        <f t="shared" si="43"/>
        <v>0</v>
      </c>
      <c r="W684" t="str">
        <f>IFERROR(MID(Проливка[[#This Row],[Штрихкод ]],1,FIND("-",Проливка[[#This Row],[Штрихкод ]],1)-1)," ")</f>
        <v xml:space="preserve"> </v>
      </c>
      <c r="X684" t="str">
        <f>IFERROR(RIGHT(Проливка[[#This Row],[Штрихкод ]],LEN(Проливка[[#This Row],[Штрихкод ]])-SEARCH("-",Проливка[[#This Row],[Штрихкод ]],1))," ")</f>
        <v xml:space="preserve"> </v>
      </c>
      <c r="Y684">
        <f>IFERROR(VLOOKUP(Проливка[[#This Row],[ID]]*1,'Срок хранения'!A684:B782,2,0),0)</f>
        <v>0</v>
      </c>
      <c r="Z684">
        <f>IFERROR(VLOOKUP(Проливка[[#This Row],[ID]]*1,'Срок хранения'!A684:C782,3,0),0)</f>
        <v>0</v>
      </c>
    </row>
    <row r="685" spans="1:26" x14ac:dyDescent="0.25">
      <c r="A685" s="9"/>
      <c r="B685" s="12" t="str">
        <f t="shared" si="41"/>
        <v xml:space="preserve"> </v>
      </c>
      <c r="C685" s="10" t="str">
        <f t="shared" si="40"/>
        <v xml:space="preserve"> </v>
      </c>
      <c r="D685" s="10">
        <f t="shared" si="42"/>
        <v>0</v>
      </c>
      <c r="E685" s="10">
        <f t="shared" si="43"/>
        <v>0</v>
      </c>
      <c r="W685" t="str">
        <f>IFERROR(MID(Проливка[[#This Row],[Штрихкод ]],1,FIND("-",Проливка[[#This Row],[Штрихкод ]],1)-1)," ")</f>
        <v xml:space="preserve"> </v>
      </c>
      <c r="X685" t="str">
        <f>IFERROR(RIGHT(Проливка[[#This Row],[Штрихкод ]],LEN(Проливка[[#This Row],[Штрихкод ]])-SEARCH("-",Проливка[[#This Row],[Штрихкод ]],1))," ")</f>
        <v xml:space="preserve"> </v>
      </c>
      <c r="Y685">
        <f>IFERROR(VLOOKUP(Проливка[[#This Row],[ID]]*1,'Срок хранения'!A685:B783,2,0),0)</f>
        <v>0</v>
      </c>
      <c r="Z685">
        <f>IFERROR(VLOOKUP(Проливка[[#This Row],[ID]]*1,'Срок хранения'!A685:C783,3,0),0)</f>
        <v>0</v>
      </c>
    </row>
    <row r="686" spans="1:26" x14ac:dyDescent="0.25">
      <c r="A686" s="9"/>
      <c r="B686" s="12" t="str">
        <f t="shared" si="41"/>
        <v xml:space="preserve"> </v>
      </c>
      <c r="C686" s="10" t="str">
        <f t="shared" si="40"/>
        <v xml:space="preserve"> </v>
      </c>
      <c r="D686" s="10">
        <f t="shared" si="42"/>
        <v>0</v>
      </c>
      <c r="E686" s="10">
        <f t="shared" si="43"/>
        <v>0</v>
      </c>
      <c r="W686" t="str">
        <f>IFERROR(MID(Проливка[[#This Row],[Штрихкод ]],1,FIND("-",Проливка[[#This Row],[Штрихкод ]],1)-1)," ")</f>
        <v xml:space="preserve"> </v>
      </c>
      <c r="X686" t="str">
        <f>IFERROR(RIGHT(Проливка[[#This Row],[Штрихкод ]],LEN(Проливка[[#This Row],[Штрихкод ]])-SEARCH("-",Проливка[[#This Row],[Штрихкод ]],1))," ")</f>
        <v xml:space="preserve"> </v>
      </c>
      <c r="Y686">
        <f>IFERROR(VLOOKUP(Проливка[[#This Row],[ID]]*1,'Срок хранения'!A686:B784,2,0),0)</f>
        <v>0</v>
      </c>
      <c r="Z686">
        <f>IFERROR(VLOOKUP(Проливка[[#This Row],[ID]]*1,'Срок хранения'!A686:C784,3,0),0)</f>
        <v>0</v>
      </c>
    </row>
    <row r="687" spans="1:26" x14ac:dyDescent="0.25">
      <c r="A687" s="9"/>
      <c r="B687" s="12" t="str">
        <f t="shared" si="41"/>
        <v xml:space="preserve"> </v>
      </c>
      <c r="C687" s="10" t="str">
        <f t="shared" si="40"/>
        <v xml:space="preserve"> </v>
      </c>
      <c r="D687" s="10">
        <f t="shared" si="42"/>
        <v>0</v>
      </c>
      <c r="E687" s="10">
        <f t="shared" si="43"/>
        <v>0</v>
      </c>
      <c r="W687" t="str">
        <f>IFERROR(MID(Проливка[[#This Row],[Штрихкод ]],1,FIND("-",Проливка[[#This Row],[Штрихкод ]],1)-1)," ")</f>
        <v xml:space="preserve"> </v>
      </c>
      <c r="X687" t="str">
        <f>IFERROR(RIGHT(Проливка[[#This Row],[Штрихкод ]],LEN(Проливка[[#This Row],[Штрихкод ]])-SEARCH("-",Проливка[[#This Row],[Штрихкод ]],1))," ")</f>
        <v xml:space="preserve"> </v>
      </c>
      <c r="Y687">
        <f>IFERROR(VLOOKUP(Проливка[[#This Row],[ID]]*1,'Срок хранения'!A687:B785,2,0),0)</f>
        <v>0</v>
      </c>
      <c r="Z687">
        <f>IFERROR(VLOOKUP(Проливка[[#This Row],[ID]]*1,'Срок хранения'!A687:C785,3,0),0)</f>
        <v>0</v>
      </c>
    </row>
    <row r="688" spans="1:26" x14ac:dyDescent="0.25">
      <c r="A688" s="9"/>
      <c r="B688" s="12" t="str">
        <f t="shared" si="41"/>
        <v xml:space="preserve"> </v>
      </c>
      <c r="C688" s="10" t="str">
        <f t="shared" si="40"/>
        <v xml:space="preserve"> </v>
      </c>
      <c r="D688" s="10">
        <f t="shared" si="42"/>
        <v>0</v>
      </c>
      <c r="E688" s="10">
        <f t="shared" si="43"/>
        <v>0</v>
      </c>
      <c r="W688" t="str">
        <f>IFERROR(MID(Проливка[[#This Row],[Штрихкод ]],1,FIND("-",Проливка[[#This Row],[Штрихкод ]],1)-1)," ")</f>
        <v xml:space="preserve"> </v>
      </c>
      <c r="X688" t="str">
        <f>IFERROR(RIGHT(Проливка[[#This Row],[Штрихкод ]],LEN(Проливка[[#This Row],[Штрихкод ]])-SEARCH("-",Проливка[[#This Row],[Штрихкод ]],1))," ")</f>
        <v xml:space="preserve"> </v>
      </c>
      <c r="Y688">
        <f>IFERROR(VLOOKUP(Проливка[[#This Row],[ID]]*1,'Срок хранения'!A688:B786,2,0),0)</f>
        <v>0</v>
      </c>
      <c r="Z688">
        <f>IFERROR(VLOOKUP(Проливка[[#This Row],[ID]]*1,'Срок хранения'!A688:C786,3,0),0)</f>
        <v>0</v>
      </c>
    </row>
    <row r="689" spans="1:26" x14ac:dyDescent="0.25">
      <c r="A689" s="9"/>
      <c r="B689" s="12" t="str">
        <f t="shared" si="41"/>
        <v xml:space="preserve"> </v>
      </c>
      <c r="C689" s="10" t="str">
        <f t="shared" si="40"/>
        <v xml:space="preserve"> </v>
      </c>
      <c r="D689" s="10">
        <f t="shared" si="42"/>
        <v>0</v>
      </c>
      <c r="E689" s="10">
        <f t="shared" si="43"/>
        <v>0</v>
      </c>
      <c r="W689" t="str">
        <f>IFERROR(MID(Проливка[[#This Row],[Штрихкод ]],1,FIND("-",Проливка[[#This Row],[Штрихкод ]],1)-1)," ")</f>
        <v xml:space="preserve"> </v>
      </c>
      <c r="X689" t="str">
        <f>IFERROR(RIGHT(Проливка[[#This Row],[Штрихкод ]],LEN(Проливка[[#This Row],[Штрихкод ]])-SEARCH("-",Проливка[[#This Row],[Штрихкод ]],1))," ")</f>
        <v xml:space="preserve"> </v>
      </c>
      <c r="Y689">
        <f>IFERROR(VLOOKUP(Проливка[[#This Row],[ID]]*1,'Срок хранения'!A689:B787,2,0),0)</f>
        <v>0</v>
      </c>
      <c r="Z689">
        <f>IFERROR(VLOOKUP(Проливка[[#This Row],[ID]]*1,'Срок хранения'!A689:C787,3,0),0)</f>
        <v>0</v>
      </c>
    </row>
    <row r="690" spans="1:26" x14ac:dyDescent="0.25">
      <c r="A690" s="9"/>
      <c r="B690" s="12" t="str">
        <f t="shared" si="41"/>
        <v xml:space="preserve"> </v>
      </c>
      <c r="C690" s="10" t="str">
        <f t="shared" si="40"/>
        <v xml:space="preserve"> </v>
      </c>
      <c r="D690" s="10">
        <f t="shared" si="42"/>
        <v>0</v>
      </c>
      <c r="E690" s="10">
        <f t="shared" si="43"/>
        <v>0</v>
      </c>
      <c r="W690" t="str">
        <f>IFERROR(MID(Проливка[[#This Row],[Штрихкод ]],1,FIND("-",Проливка[[#This Row],[Штрихкод ]],1)-1)," ")</f>
        <v xml:space="preserve"> </v>
      </c>
      <c r="X690" t="str">
        <f>IFERROR(RIGHT(Проливка[[#This Row],[Штрихкод ]],LEN(Проливка[[#This Row],[Штрихкод ]])-SEARCH("-",Проливка[[#This Row],[Штрихкод ]],1))," ")</f>
        <v xml:space="preserve"> </v>
      </c>
      <c r="Y690">
        <f>IFERROR(VLOOKUP(Проливка[[#This Row],[ID]]*1,'Срок хранения'!A690:B788,2,0),0)</f>
        <v>0</v>
      </c>
      <c r="Z690">
        <f>IFERROR(VLOOKUP(Проливка[[#This Row],[ID]]*1,'Срок хранения'!A690:C788,3,0),0)</f>
        <v>0</v>
      </c>
    </row>
    <row r="691" spans="1:26" x14ac:dyDescent="0.25">
      <c r="A691" s="9"/>
      <c r="B691" s="12" t="str">
        <f t="shared" si="41"/>
        <v xml:space="preserve"> </v>
      </c>
      <c r="C691" s="10" t="str">
        <f t="shared" si="40"/>
        <v xml:space="preserve"> </v>
      </c>
      <c r="D691" s="10">
        <f t="shared" si="42"/>
        <v>0</v>
      </c>
      <c r="E691" s="10">
        <f t="shared" si="43"/>
        <v>0</v>
      </c>
      <c r="W691" t="str">
        <f>IFERROR(MID(Проливка[[#This Row],[Штрихкод ]],1,FIND("-",Проливка[[#This Row],[Штрихкод ]],1)-1)," ")</f>
        <v xml:space="preserve"> </v>
      </c>
      <c r="X691" t="str">
        <f>IFERROR(RIGHT(Проливка[[#This Row],[Штрихкод ]],LEN(Проливка[[#This Row],[Штрихкод ]])-SEARCH("-",Проливка[[#This Row],[Штрихкод ]],1))," ")</f>
        <v xml:space="preserve"> </v>
      </c>
      <c r="Y691">
        <f>IFERROR(VLOOKUP(Проливка[[#This Row],[ID]]*1,'Срок хранения'!A691:B789,2,0),0)</f>
        <v>0</v>
      </c>
      <c r="Z691">
        <f>IFERROR(VLOOKUP(Проливка[[#This Row],[ID]]*1,'Срок хранения'!A691:C789,3,0),0)</f>
        <v>0</v>
      </c>
    </row>
    <row r="692" spans="1:26" x14ac:dyDescent="0.25">
      <c r="A692" s="9"/>
      <c r="B692" s="12" t="str">
        <f t="shared" si="41"/>
        <v xml:space="preserve"> </v>
      </c>
      <c r="C692" s="10" t="str">
        <f t="shared" si="40"/>
        <v xml:space="preserve"> </v>
      </c>
      <c r="D692" s="10">
        <f t="shared" si="42"/>
        <v>0</v>
      </c>
      <c r="E692" s="10">
        <f t="shared" si="43"/>
        <v>0</v>
      </c>
      <c r="W692" t="str">
        <f>IFERROR(MID(Проливка[[#This Row],[Штрихкод ]],1,FIND("-",Проливка[[#This Row],[Штрихкод ]],1)-1)," ")</f>
        <v xml:space="preserve"> </v>
      </c>
      <c r="X692" t="str">
        <f>IFERROR(RIGHT(Проливка[[#This Row],[Штрихкод ]],LEN(Проливка[[#This Row],[Штрихкод ]])-SEARCH("-",Проливка[[#This Row],[Штрихкод ]],1))," ")</f>
        <v xml:space="preserve"> </v>
      </c>
      <c r="Y692">
        <f>IFERROR(VLOOKUP(Проливка[[#This Row],[ID]]*1,'Срок хранения'!A692:B790,2,0),0)</f>
        <v>0</v>
      </c>
      <c r="Z692">
        <f>IFERROR(VLOOKUP(Проливка[[#This Row],[ID]]*1,'Срок хранения'!A692:C790,3,0),0)</f>
        <v>0</v>
      </c>
    </row>
    <row r="693" spans="1:26" x14ac:dyDescent="0.25">
      <c r="A693" s="9"/>
      <c r="B693" s="12" t="str">
        <f t="shared" si="41"/>
        <v xml:space="preserve"> </v>
      </c>
      <c r="C693" s="10" t="str">
        <f t="shared" si="40"/>
        <v xml:space="preserve"> </v>
      </c>
      <c r="D693" s="10">
        <f t="shared" si="42"/>
        <v>0</v>
      </c>
      <c r="E693" s="10">
        <f t="shared" si="43"/>
        <v>0</v>
      </c>
      <c r="W693" t="str">
        <f>IFERROR(MID(Проливка[[#This Row],[Штрихкод ]],1,FIND("-",Проливка[[#This Row],[Штрихкод ]],1)-1)," ")</f>
        <v xml:space="preserve"> </v>
      </c>
      <c r="X693" t="str">
        <f>IFERROR(RIGHT(Проливка[[#This Row],[Штрихкод ]],LEN(Проливка[[#This Row],[Штрихкод ]])-SEARCH("-",Проливка[[#This Row],[Штрихкод ]],1))," ")</f>
        <v xml:space="preserve"> </v>
      </c>
      <c r="Y693">
        <f>IFERROR(VLOOKUP(Проливка[[#This Row],[ID]]*1,'Срок хранения'!A693:B791,2,0),0)</f>
        <v>0</v>
      </c>
      <c r="Z693">
        <f>IFERROR(VLOOKUP(Проливка[[#This Row],[ID]]*1,'Срок хранения'!A693:C791,3,0),0)</f>
        <v>0</v>
      </c>
    </row>
    <row r="694" spans="1:26" x14ac:dyDescent="0.25">
      <c r="A694" s="9"/>
      <c r="B694" s="12" t="str">
        <f t="shared" si="41"/>
        <v xml:space="preserve"> </v>
      </c>
      <c r="C694" s="10" t="str">
        <f t="shared" si="40"/>
        <v xml:space="preserve"> </v>
      </c>
      <c r="D694" s="10">
        <f t="shared" si="42"/>
        <v>0</v>
      </c>
      <c r="E694" s="10">
        <f t="shared" si="43"/>
        <v>0</v>
      </c>
      <c r="W694" t="str">
        <f>IFERROR(MID(Проливка[[#This Row],[Штрихкод ]],1,FIND("-",Проливка[[#This Row],[Штрихкод ]],1)-1)," ")</f>
        <v xml:space="preserve"> </v>
      </c>
      <c r="X694" t="str">
        <f>IFERROR(RIGHT(Проливка[[#This Row],[Штрихкод ]],LEN(Проливка[[#This Row],[Штрихкод ]])-SEARCH("-",Проливка[[#This Row],[Штрихкод ]],1))," ")</f>
        <v xml:space="preserve"> </v>
      </c>
      <c r="Y694">
        <f>IFERROR(VLOOKUP(Проливка[[#This Row],[ID]]*1,'Срок хранения'!A694:B792,2,0),0)</f>
        <v>0</v>
      </c>
      <c r="Z694">
        <f>IFERROR(VLOOKUP(Проливка[[#This Row],[ID]]*1,'Срок хранения'!A694:C792,3,0),0)</f>
        <v>0</v>
      </c>
    </row>
    <row r="695" spans="1:26" x14ac:dyDescent="0.25">
      <c r="A695" s="9"/>
      <c r="B695" s="12" t="str">
        <f t="shared" si="41"/>
        <v xml:space="preserve"> </v>
      </c>
      <c r="C695" s="10" t="str">
        <f t="shared" si="40"/>
        <v xml:space="preserve"> </v>
      </c>
      <c r="D695" s="10">
        <f t="shared" si="42"/>
        <v>0</v>
      </c>
      <c r="E695" s="10">
        <f t="shared" si="43"/>
        <v>0</v>
      </c>
      <c r="W695" t="str">
        <f>IFERROR(MID(Проливка[[#This Row],[Штрихкод ]],1,FIND("-",Проливка[[#This Row],[Штрихкод ]],1)-1)," ")</f>
        <v xml:space="preserve"> </v>
      </c>
      <c r="X695" t="str">
        <f>IFERROR(RIGHT(Проливка[[#This Row],[Штрихкод ]],LEN(Проливка[[#This Row],[Штрихкод ]])-SEARCH("-",Проливка[[#This Row],[Штрихкод ]],1))," ")</f>
        <v xml:space="preserve"> </v>
      </c>
      <c r="Y695">
        <f>IFERROR(VLOOKUP(Проливка[[#This Row],[ID]]*1,'Срок хранения'!A695:B793,2,0),0)</f>
        <v>0</v>
      </c>
      <c r="Z695">
        <f>IFERROR(VLOOKUP(Проливка[[#This Row],[ID]]*1,'Срок хранения'!A695:C793,3,0),0)</f>
        <v>0</v>
      </c>
    </row>
    <row r="696" spans="1:26" x14ac:dyDescent="0.25">
      <c r="A696" s="9"/>
      <c r="B696" s="12" t="str">
        <f t="shared" si="41"/>
        <v xml:space="preserve"> </v>
      </c>
      <c r="C696" s="10" t="str">
        <f t="shared" si="40"/>
        <v xml:space="preserve"> </v>
      </c>
      <c r="D696" s="10">
        <f t="shared" si="42"/>
        <v>0</v>
      </c>
      <c r="E696" s="10">
        <f t="shared" si="43"/>
        <v>0</v>
      </c>
      <c r="W696" t="str">
        <f>IFERROR(MID(Проливка[[#This Row],[Штрихкод ]],1,FIND("-",Проливка[[#This Row],[Штрихкод ]],1)-1)," ")</f>
        <v xml:space="preserve"> </v>
      </c>
      <c r="X696" t="str">
        <f>IFERROR(RIGHT(Проливка[[#This Row],[Штрихкод ]],LEN(Проливка[[#This Row],[Штрихкод ]])-SEARCH("-",Проливка[[#This Row],[Штрихкод ]],1))," ")</f>
        <v xml:space="preserve"> </v>
      </c>
      <c r="Y696">
        <f>IFERROR(VLOOKUP(Проливка[[#This Row],[ID]]*1,'Срок хранения'!A696:B794,2,0),0)</f>
        <v>0</v>
      </c>
      <c r="Z696">
        <f>IFERROR(VLOOKUP(Проливка[[#This Row],[ID]]*1,'Срок хранения'!A696:C794,3,0),0)</f>
        <v>0</v>
      </c>
    </row>
    <row r="697" spans="1:26" x14ac:dyDescent="0.25">
      <c r="A697" s="9"/>
      <c r="B697" s="12" t="str">
        <f t="shared" si="41"/>
        <v xml:space="preserve"> </v>
      </c>
      <c r="C697" s="10" t="str">
        <f t="shared" si="40"/>
        <v xml:space="preserve"> </v>
      </c>
      <c r="D697" s="10">
        <f t="shared" si="42"/>
        <v>0</v>
      </c>
      <c r="E697" s="10">
        <f t="shared" si="43"/>
        <v>0</v>
      </c>
      <c r="W697" t="str">
        <f>IFERROR(MID(Проливка[[#This Row],[Штрихкод ]],1,FIND("-",Проливка[[#This Row],[Штрихкод ]],1)-1)," ")</f>
        <v xml:space="preserve"> </v>
      </c>
      <c r="X697" t="str">
        <f>IFERROR(RIGHT(Проливка[[#This Row],[Штрихкод ]],LEN(Проливка[[#This Row],[Штрихкод ]])-SEARCH("-",Проливка[[#This Row],[Штрихкод ]],1))," ")</f>
        <v xml:space="preserve"> </v>
      </c>
      <c r="Y697">
        <f>IFERROR(VLOOKUP(Проливка[[#This Row],[ID]]*1,'Срок хранения'!A697:B795,2,0),0)</f>
        <v>0</v>
      </c>
      <c r="Z697">
        <f>IFERROR(VLOOKUP(Проливка[[#This Row],[ID]]*1,'Срок хранения'!A697:C795,3,0),0)</f>
        <v>0</v>
      </c>
    </row>
    <row r="698" spans="1:26" x14ac:dyDescent="0.25">
      <c r="A698" s="9"/>
      <c r="B698" s="12" t="str">
        <f t="shared" si="41"/>
        <v xml:space="preserve"> </v>
      </c>
      <c r="C698" s="10" t="str">
        <f t="shared" si="40"/>
        <v xml:space="preserve"> </v>
      </c>
      <c r="D698" s="10">
        <f t="shared" si="42"/>
        <v>0</v>
      </c>
      <c r="E698" s="10">
        <f t="shared" si="43"/>
        <v>0</v>
      </c>
      <c r="W698" t="str">
        <f>IFERROR(MID(Проливка[[#This Row],[Штрихкод ]],1,FIND("-",Проливка[[#This Row],[Штрихкод ]],1)-1)," ")</f>
        <v xml:space="preserve"> </v>
      </c>
      <c r="X698" t="str">
        <f>IFERROR(RIGHT(Проливка[[#This Row],[Штрихкод ]],LEN(Проливка[[#This Row],[Штрихкод ]])-SEARCH("-",Проливка[[#This Row],[Штрихкод ]],1))," ")</f>
        <v xml:space="preserve"> </v>
      </c>
      <c r="Y698">
        <f>IFERROR(VLOOKUP(Проливка[[#This Row],[ID]]*1,'Срок хранения'!A698:B796,2,0),0)</f>
        <v>0</v>
      </c>
      <c r="Z698">
        <f>IFERROR(VLOOKUP(Проливка[[#This Row],[ID]]*1,'Срок хранения'!A698:C796,3,0),0)</f>
        <v>0</v>
      </c>
    </row>
    <row r="699" spans="1:26" x14ac:dyDescent="0.25">
      <c r="A699" s="9"/>
      <c r="B699" s="12" t="str">
        <f t="shared" si="41"/>
        <v xml:space="preserve"> </v>
      </c>
      <c r="C699" s="10" t="str">
        <f t="shared" si="40"/>
        <v xml:space="preserve"> </v>
      </c>
      <c r="D699" s="10">
        <f t="shared" si="42"/>
        <v>0</v>
      </c>
      <c r="E699" s="10">
        <f t="shared" si="43"/>
        <v>0</v>
      </c>
      <c r="W699" t="str">
        <f>IFERROR(MID(Проливка[[#This Row],[Штрихкод ]],1,FIND("-",Проливка[[#This Row],[Штрихкод ]],1)-1)," ")</f>
        <v xml:space="preserve"> </v>
      </c>
      <c r="X699" t="str">
        <f>IFERROR(RIGHT(Проливка[[#This Row],[Штрихкод ]],LEN(Проливка[[#This Row],[Штрихкод ]])-SEARCH("-",Проливка[[#This Row],[Штрихкод ]],1))," ")</f>
        <v xml:space="preserve"> </v>
      </c>
      <c r="Y699">
        <f>IFERROR(VLOOKUP(Проливка[[#This Row],[ID]]*1,'Срок хранения'!A699:B797,2,0),0)</f>
        <v>0</v>
      </c>
      <c r="Z699">
        <f>IFERROR(VLOOKUP(Проливка[[#This Row],[ID]]*1,'Срок хранения'!A699:C797,3,0),0)</f>
        <v>0</v>
      </c>
    </row>
    <row r="700" spans="1:26" x14ac:dyDescent="0.25">
      <c r="A700" s="9"/>
      <c r="B700" s="12" t="str">
        <f t="shared" si="41"/>
        <v xml:space="preserve"> </v>
      </c>
      <c r="C700" s="10" t="str">
        <f t="shared" si="40"/>
        <v xml:space="preserve"> </v>
      </c>
      <c r="D700" s="10">
        <f t="shared" si="42"/>
        <v>0</v>
      </c>
      <c r="E700" s="10">
        <f t="shared" si="43"/>
        <v>0</v>
      </c>
      <c r="W700" t="str">
        <f>IFERROR(MID(Проливка[[#This Row],[Штрихкод ]],1,FIND("-",Проливка[[#This Row],[Штрихкод ]],1)-1)," ")</f>
        <v xml:space="preserve"> </v>
      </c>
      <c r="X700" t="str">
        <f>IFERROR(RIGHT(Проливка[[#This Row],[Штрихкод ]],LEN(Проливка[[#This Row],[Штрихкод ]])-SEARCH("-",Проливка[[#This Row],[Штрихкод ]],1))," ")</f>
        <v xml:space="preserve"> </v>
      </c>
      <c r="Y700">
        <f>IFERROR(VLOOKUP(Проливка[[#This Row],[ID]]*1,'Срок хранения'!A700:B798,2,0),0)</f>
        <v>0</v>
      </c>
      <c r="Z700">
        <f>IFERROR(VLOOKUP(Проливка[[#This Row],[ID]]*1,'Срок хранения'!A700:C798,3,0),0)</f>
        <v>0</v>
      </c>
    </row>
    <row r="701" spans="1:26" x14ac:dyDescent="0.25">
      <c r="A701" s="9"/>
      <c r="B701" s="12" t="str">
        <f t="shared" si="41"/>
        <v xml:space="preserve"> </v>
      </c>
      <c r="C701" s="10" t="str">
        <f t="shared" si="40"/>
        <v xml:space="preserve"> </v>
      </c>
      <c r="D701" s="10">
        <f t="shared" si="42"/>
        <v>0</v>
      </c>
      <c r="E701" s="10">
        <f t="shared" si="43"/>
        <v>0</v>
      </c>
      <c r="W701" t="str">
        <f>IFERROR(MID(Проливка[[#This Row],[Штрихкод ]],1,FIND("-",Проливка[[#This Row],[Штрихкод ]],1)-1)," ")</f>
        <v xml:space="preserve"> </v>
      </c>
      <c r="X701" t="str">
        <f>IFERROR(RIGHT(Проливка[[#This Row],[Штрихкод ]],LEN(Проливка[[#This Row],[Штрихкод ]])-SEARCH("-",Проливка[[#This Row],[Штрихкод ]],1))," ")</f>
        <v xml:space="preserve"> </v>
      </c>
      <c r="Y701">
        <f>IFERROR(VLOOKUP(Проливка[[#This Row],[ID]]*1,'Срок хранения'!A701:B799,2,0),0)</f>
        <v>0</v>
      </c>
      <c r="Z701">
        <f>IFERROR(VLOOKUP(Проливка[[#This Row],[ID]]*1,'Срок хранения'!A701:C799,3,0),0)</f>
        <v>0</v>
      </c>
    </row>
    <row r="702" spans="1:26" x14ac:dyDescent="0.25">
      <c r="A702" s="9"/>
      <c r="B702" s="12" t="str">
        <f t="shared" si="41"/>
        <v xml:space="preserve"> </v>
      </c>
      <c r="C702" s="10" t="str">
        <f t="shared" si="40"/>
        <v xml:space="preserve"> </v>
      </c>
      <c r="D702" s="10">
        <f t="shared" si="42"/>
        <v>0</v>
      </c>
      <c r="E702" s="10">
        <f t="shared" si="43"/>
        <v>0</v>
      </c>
      <c r="W702" t="str">
        <f>IFERROR(MID(Проливка[[#This Row],[Штрихкод ]],1,FIND("-",Проливка[[#This Row],[Штрихкод ]],1)-1)," ")</f>
        <v xml:space="preserve"> </v>
      </c>
      <c r="X702" t="str">
        <f>IFERROR(RIGHT(Проливка[[#This Row],[Штрихкод ]],LEN(Проливка[[#This Row],[Штрихкод ]])-SEARCH("-",Проливка[[#This Row],[Штрихкод ]],1))," ")</f>
        <v xml:space="preserve"> </v>
      </c>
      <c r="Y702">
        <f>IFERROR(VLOOKUP(Проливка[[#This Row],[ID]]*1,'Срок хранения'!A702:B800,2,0),0)</f>
        <v>0</v>
      </c>
      <c r="Z702">
        <f>IFERROR(VLOOKUP(Проливка[[#This Row],[ID]]*1,'Срок хранения'!A702:C800,3,0),0)</f>
        <v>0</v>
      </c>
    </row>
    <row r="703" spans="1:26" x14ac:dyDescent="0.25">
      <c r="A703" s="9"/>
      <c r="B703" s="12" t="str">
        <f t="shared" si="41"/>
        <v xml:space="preserve"> </v>
      </c>
      <c r="C703" s="10" t="str">
        <f t="shared" si="40"/>
        <v xml:space="preserve"> </v>
      </c>
      <c r="D703" s="10">
        <f t="shared" si="42"/>
        <v>0</v>
      </c>
      <c r="E703" s="10">
        <f t="shared" si="43"/>
        <v>0</v>
      </c>
      <c r="W703" t="str">
        <f>IFERROR(MID(Проливка[[#This Row],[Штрихкод ]],1,FIND("-",Проливка[[#This Row],[Штрихкод ]],1)-1)," ")</f>
        <v xml:space="preserve"> </v>
      </c>
      <c r="X703" t="str">
        <f>IFERROR(RIGHT(Проливка[[#This Row],[Штрихкод ]],LEN(Проливка[[#This Row],[Штрихкод ]])-SEARCH("-",Проливка[[#This Row],[Штрихкод ]],1))," ")</f>
        <v xml:space="preserve"> </v>
      </c>
      <c r="Y703">
        <f>IFERROR(VLOOKUP(Проливка[[#This Row],[ID]]*1,'Срок хранения'!A703:B801,2,0),0)</f>
        <v>0</v>
      </c>
      <c r="Z703">
        <f>IFERROR(VLOOKUP(Проливка[[#This Row],[ID]]*1,'Срок хранения'!A703:C801,3,0),0)</f>
        <v>0</v>
      </c>
    </row>
    <row r="704" spans="1:26" x14ac:dyDescent="0.25">
      <c r="A704" s="9"/>
      <c r="B704" s="12" t="str">
        <f t="shared" si="41"/>
        <v xml:space="preserve"> </v>
      </c>
      <c r="C704" s="10" t="str">
        <f t="shared" si="40"/>
        <v xml:space="preserve"> </v>
      </c>
      <c r="D704" s="10">
        <f t="shared" si="42"/>
        <v>0</v>
      </c>
      <c r="E704" s="10">
        <f t="shared" si="43"/>
        <v>0</v>
      </c>
      <c r="W704" t="str">
        <f>IFERROR(MID(Проливка[[#This Row],[Штрихкод ]],1,FIND("-",Проливка[[#This Row],[Штрихкод ]],1)-1)," ")</f>
        <v xml:space="preserve"> </v>
      </c>
      <c r="X704" t="str">
        <f>IFERROR(RIGHT(Проливка[[#This Row],[Штрихкод ]],LEN(Проливка[[#This Row],[Штрихкод ]])-SEARCH("-",Проливка[[#This Row],[Штрихкод ]],1))," ")</f>
        <v xml:space="preserve"> </v>
      </c>
      <c r="Y704">
        <f>IFERROR(VLOOKUP(Проливка[[#This Row],[ID]]*1,'Срок хранения'!A704:B802,2,0),0)</f>
        <v>0</v>
      </c>
      <c r="Z704">
        <f>IFERROR(VLOOKUP(Проливка[[#This Row],[ID]]*1,'Срок хранения'!A704:C802,3,0),0)</f>
        <v>0</v>
      </c>
    </row>
    <row r="705" spans="1:26" x14ac:dyDescent="0.25">
      <c r="A705" s="9"/>
      <c r="B705" s="12" t="str">
        <f t="shared" si="41"/>
        <v xml:space="preserve"> </v>
      </c>
      <c r="C705" s="10" t="str">
        <f t="shared" si="40"/>
        <v xml:space="preserve"> </v>
      </c>
      <c r="D705" s="10">
        <f t="shared" si="42"/>
        <v>0</v>
      </c>
      <c r="E705" s="10">
        <f t="shared" si="43"/>
        <v>0</v>
      </c>
      <c r="W705" t="str">
        <f>IFERROR(MID(Проливка[[#This Row],[Штрихкод ]],1,FIND("-",Проливка[[#This Row],[Штрихкод ]],1)-1)," ")</f>
        <v xml:space="preserve"> </v>
      </c>
      <c r="X705" t="str">
        <f>IFERROR(RIGHT(Проливка[[#This Row],[Штрихкод ]],LEN(Проливка[[#This Row],[Штрихкод ]])-SEARCH("-",Проливка[[#This Row],[Штрихкод ]],1))," ")</f>
        <v xml:space="preserve"> </v>
      </c>
      <c r="Y705">
        <f>IFERROR(VLOOKUP(Проливка[[#This Row],[ID]]*1,'Срок хранения'!A705:B803,2,0),0)</f>
        <v>0</v>
      </c>
      <c r="Z705">
        <f>IFERROR(VLOOKUP(Проливка[[#This Row],[ID]]*1,'Срок хранения'!A705:C803,3,0),0)</f>
        <v>0</v>
      </c>
    </row>
    <row r="706" spans="1:26" x14ac:dyDescent="0.25">
      <c r="A706" s="9"/>
      <c r="B706" s="12" t="str">
        <f t="shared" si="41"/>
        <v xml:space="preserve"> </v>
      </c>
      <c r="C706" s="10" t="str">
        <f t="shared" ref="C706:C769" si="44">X706</f>
        <v xml:space="preserve"> </v>
      </c>
      <c r="D706" s="10">
        <f t="shared" si="42"/>
        <v>0</v>
      </c>
      <c r="E706" s="10">
        <f t="shared" si="43"/>
        <v>0</v>
      </c>
      <c r="W706" t="str">
        <f>IFERROR(MID(Проливка[[#This Row],[Штрихкод ]],1,FIND("-",Проливка[[#This Row],[Штрихкод ]],1)-1)," ")</f>
        <v xml:space="preserve"> </v>
      </c>
      <c r="X706" t="str">
        <f>IFERROR(RIGHT(Проливка[[#This Row],[Штрихкод ]],LEN(Проливка[[#This Row],[Штрихкод ]])-SEARCH("-",Проливка[[#This Row],[Штрихкод ]],1))," ")</f>
        <v xml:space="preserve"> </v>
      </c>
      <c r="Y706">
        <f>IFERROR(VLOOKUP(Проливка[[#This Row],[ID]]*1,'Срок хранения'!A706:B804,2,0),0)</f>
        <v>0</v>
      </c>
      <c r="Z706">
        <f>IFERROR(VLOOKUP(Проливка[[#This Row],[ID]]*1,'Срок хранения'!A706:C804,3,0),0)</f>
        <v>0</v>
      </c>
    </row>
    <row r="707" spans="1:26" x14ac:dyDescent="0.25">
      <c r="A707" s="9"/>
      <c r="B707" s="12" t="str">
        <f t="shared" ref="B707:B770" si="45">W707</f>
        <v xml:space="preserve"> </v>
      </c>
      <c r="C707" s="10" t="str">
        <f t="shared" si="44"/>
        <v xml:space="preserve"> </v>
      </c>
      <c r="D707" s="10">
        <f t="shared" ref="D707:D770" si="46">Y707</f>
        <v>0</v>
      </c>
      <c r="E707" s="10">
        <f t="shared" ref="E707:E770" si="47">Z707</f>
        <v>0</v>
      </c>
      <c r="W707" t="str">
        <f>IFERROR(MID(Проливка[[#This Row],[Штрихкод ]],1,FIND("-",Проливка[[#This Row],[Штрихкод ]],1)-1)," ")</f>
        <v xml:space="preserve"> </v>
      </c>
      <c r="X707" t="str">
        <f>IFERROR(RIGHT(Проливка[[#This Row],[Штрихкод ]],LEN(Проливка[[#This Row],[Штрихкод ]])-SEARCH("-",Проливка[[#This Row],[Штрихкод ]],1))," ")</f>
        <v xml:space="preserve"> </v>
      </c>
      <c r="Y707">
        <f>IFERROR(VLOOKUP(Проливка[[#This Row],[ID]]*1,'Срок хранения'!A707:B805,2,0),0)</f>
        <v>0</v>
      </c>
      <c r="Z707">
        <f>IFERROR(VLOOKUP(Проливка[[#This Row],[ID]]*1,'Срок хранения'!A707:C805,3,0),0)</f>
        <v>0</v>
      </c>
    </row>
    <row r="708" spans="1:26" x14ac:dyDescent="0.25">
      <c r="A708" s="9"/>
      <c r="B708" s="12" t="str">
        <f t="shared" si="45"/>
        <v xml:space="preserve"> </v>
      </c>
      <c r="C708" s="10" t="str">
        <f t="shared" si="44"/>
        <v xml:space="preserve"> </v>
      </c>
      <c r="D708" s="10">
        <f t="shared" si="46"/>
        <v>0</v>
      </c>
      <c r="E708" s="10">
        <f t="shared" si="47"/>
        <v>0</v>
      </c>
      <c r="W708" t="str">
        <f>IFERROR(MID(Проливка[[#This Row],[Штрихкод ]],1,FIND("-",Проливка[[#This Row],[Штрихкод ]],1)-1)," ")</f>
        <v xml:space="preserve"> </v>
      </c>
      <c r="X708" t="str">
        <f>IFERROR(RIGHT(Проливка[[#This Row],[Штрихкод ]],LEN(Проливка[[#This Row],[Штрихкод ]])-SEARCH("-",Проливка[[#This Row],[Штрихкод ]],1))," ")</f>
        <v xml:space="preserve"> </v>
      </c>
      <c r="Y708">
        <f>IFERROR(VLOOKUP(Проливка[[#This Row],[ID]]*1,'Срок хранения'!A708:B806,2,0),0)</f>
        <v>0</v>
      </c>
      <c r="Z708">
        <f>IFERROR(VLOOKUP(Проливка[[#This Row],[ID]]*1,'Срок хранения'!A708:C806,3,0),0)</f>
        <v>0</v>
      </c>
    </row>
    <row r="709" spans="1:26" x14ac:dyDescent="0.25">
      <c r="A709" s="9"/>
      <c r="B709" s="12" t="str">
        <f t="shared" si="45"/>
        <v xml:space="preserve"> </v>
      </c>
      <c r="C709" s="10" t="str">
        <f t="shared" si="44"/>
        <v xml:space="preserve"> </v>
      </c>
      <c r="D709" s="10">
        <f t="shared" si="46"/>
        <v>0</v>
      </c>
      <c r="E709" s="10">
        <f t="shared" si="47"/>
        <v>0</v>
      </c>
      <c r="W709" t="str">
        <f>IFERROR(MID(Проливка[[#This Row],[Штрихкод ]],1,FIND("-",Проливка[[#This Row],[Штрихкод ]],1)-1)," ")</f>
        <v xml:space="preserve"> </v>
      </c>
      <c r="X709" t="str">
        <f>IFERROR(RIGHT(Проливка[[#This Row],[Штрихкод ]],LEN(Проливка[[#This Row],[Штрихкод ]])-SEARCH("-",Проливка[[#This Row],[Штрихкод ]],1))," ")</f>
        <v xml:space="preserve"> </v>
      </c>
      <c r="Y709">
        <f>IFERROR(VLOOKUP(Проливка[[#This Row],[ID]]*1,'Срок хранения'!A709:B807,2,0),0)</f>
        <v>0</v>
      </c>
      <c r="Z709">
        <f>IFERROR(VLOOKUP(Проливка[[#This Row],[ID]]*1,'Срок хранения'!A709:C807,3,0),0)</f>
        <v>0</v>
      </c>
    </row>
    <row r="710" spans="1:26" x14ac:dyDescent="0.25">
      <c r="A710" s="9"/>
      <c r="B710" s="12" t="str">
        <f t="shared" si="45"/>
        <v xml:space="preserve"> </v>
      </c>
      <c r="C710" s="10" t="str">
        <f t="shared" si="44"/>
        <v xml:space="preserve"> </v>
      </c>
      <c r="D710" s="10">
        <f t="shared" si="46"/>
        <v>0</v>
      </c>
      <c r="E710" s="10">
        <f t="shared" si="47"/>
        <v>0</v>
      </c>
      <c r="W710" t="str">
        <f>IFERROR(MID(Проливка[[#This Row],[Штрихкод ]],1,FIND("-",Проливка[[#This Row],[Штрихкод ]],1)-1)," ")</f>
        <v xml:space="preserve"> </v>
      </c>
      <c r="X710" t="str">
        <f>IFERROR(RIGHT(Проливка[[#This Row],[Штрихкод ]],LEN(Проливка[[#This Row],[Штрихкод ]])-SEARCH("-",Проливка[[#This Row],[Штрихкод ]],1))," ")</f>
        <v xml:space="preserve"> </v>
      </c>
      <c r="Y710">
        <f>IFERROR(VLOOKUP(Проливка[[#This Row],[ID]]*1,'Срок хранения'!A710:B808,2,0),0)</f>
        <v>0</v>
      </c>
      <c r="Z710">
        <f>IFERROR(VLOOKUP(Проливка[[#This Row],[ID]]*1,'Срок хранения'!A710:C808,3,0),0)</f>
        <v>0</v>
      </c>
    </row>
    <row r="711" spans="1:26" x14ac:dyDescent="0.25">
      <c r="A711" s="9"/>
      <c r="B711" s="12" t="str">
        <f t="shared" si="45"/>
        <v xml:space="preserve"> </v>
      </c>
      <c r="C711" s="10" t="str">
        <f t="shared" si="44"/>
        <v xml:space="preserve"> </v>
      </c>
      <c r="D711" s="10">
        <f t="shared" si="46"/>
        <v>0</v>
      </c>
      <c r="E711" s="10">
        <f t="shared" si="47"/>
        <v>0</v>
      </c>
      <c r="W711" t="str">
        <f>IFERROR(MID(Проливка[[#This Row],[Штрихкод ]],1,FIND("-",Проливка[[#This Row],[Штрихкод ]],1)-1)," ")</f>
        <v xml:space="preserve"> </v>
      </c>
      <c r="X711" t="str">
        <f>IFERROR(RIGHT(Проливка[[#This Row],[Штрихкод ]],LEN(Проливка[[#This Row],[Штрихкод ]])-SEARCH("-",Проливка[[#This Row],[Штрихкод ]],1))," ")</f>
        <v xml:space="preserve"> </v>
      </c>
      <c r="Y711">
        <f>IFERROR(VLOOKUP(Проливка[[#This Row],[ID]]*1,'Срок хранения'!A711:B809,2,0),0)</f>
        <v>0</v>
      </c>
      <c r="Z711">
        <f>IFERROR(VLOOKUP(Проливка[[#This Row],[ID]]*1,'Срок хранения'!A711:C809,3,0),0)</f>
        <v>0</v>
      </c>
    </row>
    <row r="712" spans="1:26" x14ac:dyDescent="0.25">
      <c r="A712" s="9"/>
      <c r="B712" s="12" t="str">
        <f t="shared" si="45"/>
        <v xml:space="preserve"> </v>
      </c>
      <c r="C712" s="10" t="str">
        <f t="shared" si="44"/>
        <v xml:space="preserve"> </v>
      </c>
      <c r="D712" s="10">
        <f t="shared" si="46"/>
        <v>0</v>
      </c>
      <c r="E712" s="10">
        <f t="shared" si="47"/>
        <v>0</v>
      </c>
      <c r="W712" t="str">
        <f>IFERROR(MID(Проливка[[#This Row],[Штрихкод ]],1,FIND("-",Проливка[[#This Row],[Штрихкод ]],1)-1)," ")</f>
        <v xml:space="preserve"> </v>
      </c>
      <c r="X712" t="str">
        <f>IFERROR(RIGHT(Проливка[[#This Row],[Штрихкод ]],LEN(Проливка[[#This Row],[Штрихкод ]])-SEARCH("-",Проливка[[#This Row],[Штрихкод ]],1))," ")</f>
        <v xml:space="preserve"> </v>
      </c>
      <c r="Y712">
        <f>IFERROR(VLOOKUP(Проливка[[#This Row],[ID]]*1,'Срок хранения'!A712:B810,2,0),0)</f>
        <v>0</v>
      </c>
      <c r="Z712">
        <f>IFERROR(VLOOKUP(Проливка[[#This Row],[ID]]*1,'Срок хранения'!A712:C810,3,0),0)</f>
        <v>0</v>
      </c>
    </row>
    <row r="713" spans="1:26" x14ac:dyDescent="0.25">
      <c r="A713" s="9"/>
      <c r="B713" s="12" t="str">
        <f t="shared" si="45"/>
        <v xml:space="preserve"> </v>
      </c>
      <c r="C713" s="10" t="str">
        <f t="shared" si="44"/>
        <v xml:space="preserve"> </v>
      </c>
      <c r="D713" s="10">
        <f t="shared" si="46"/>
        <v>0</v>
      </c>
      <c r="E713" s="10">
        <f t="shared" si="47"/>
        <v>0</v>
      </c>
      <c r="W713" t="str">
        <f>IFERROR(MID(Проливка[[#This Row],[Штрихкод ]],1,FIND("-",Проливка[[#This Row],[Штрихкод ]],1)-1)," ")</f>
        <v xml:space="preserve"> </v>
      </c>
      <c r="X713" t="str">
        <f>IFERROR(RIGHT(Проливка[[#This Row],[Штрихкод ]],LEN(Проливка[[#This Row],[Штрихкод ]])-SEARCH("-",Проливка[[#This Row],[Штрихкод ]],1))," ")</f>
        <v xml:space="preserve"> </v>
      </c>
      <c r="Y713">
        <f>IFERROR(VLOOKUP(Проливка[[#This Row],[ID]]*1,'Срок хранения'!A713:B811,2,0),0)</f>
        <v>0</v>
      </c>
      <c r="Z713">
        <f>IFERROR(VLOOKUP(Проливка[[#This Row],[ID]]*1,'Срок хранения'!A713:C811,3,0),0)</f>
        <v>0</v>
      </c>
    </row>
    <row r="714" spans="1:26" x14ac:dyDescent="0.25">
      <c r="A714" s="9"/>
      <c r="B714" s="12" t="str">
        <f t="shared" si="45"/>
        <v xml:space="preserve"> </v>
      </c>
      <c r="C714" s="10" t="str">
        <f t="shared" si="44"/>
        <v xml:space="preserve"> </v>
      </c>
      <c r="D714" s="10">
        <f t="shared" si="46"/>
        <v>0</v>
      </c>
      <c r="E714" s="10">
        <f t="shared" si="47"/>
        <v>0</v>
      </c>
      <c r="W714" t="str">
        <f>IFERROR(MID(Проливка[[#This Row],[Штрихкод ]],1,FIND("-",Проливка[[#This Row],[Штрихкод ]],1)-1)," ")</f>
        <v xml:space="preserve"> </v>
      </c>
      <c r="X714" t="str">
        <f>IFERROR(RIGHT(Проливка[[#This Row],[Штрихкод ]],LEN(Проливка[[#This Row],[Штрихкод ]])-SEARCH("-",Проливка[[#This Row],[Штрихкод ]],1))," ")</f>
        <v xml:space="preserve"> </v>
      </c>
      <c r="Y714">
        <f>IFERROR(VLOOKUP(Проливка[[#This Row],[ID]]*1,'Срок хранения'!A714:B812,2,0),0)</f>
        <v>0</v>
      </c>
      <c r="Z714">
        <f>IFERROR(VLOOKUP(Проливка[[#This Row],[ID]]*1,'Срок хранения'!A714:C812,3,0),0)</f>
        <v>0</v>
      </c>
    </row>
    <row r="715" spans="1:26" x14ac:dyDescent="0.25">
      <c r="A715" s="9"/>
      <c r="B715" s="12" t="str">
        <f t="shared" si="45"/>
        <v xml:space="preserve"> </v>
      </c>
      <c r="C715" s="10" t="str">
        <f t="shared" si="44"/>
        <v xml:space="preserve"> </v>
      </c>
      <c r="D715" s="10">
        <f t="shared" si="46"/>
        <v>0</v>
      </c>
      <c r="E715" s="10">
        <f t="shared" si="47"/>
        <v>0</v>
      </c>
      <c r="W715" t="str">
        <f>IFERROR(MID(Проливка[[#This Row],[Штрихкод ]],1,FIND("-",Проливка[[#This Row],[Штрихкод ]],1)-1)," ")</f>
        <v xml:space="preserve"> </v>
      </c>
      <c r="X715" t="str">
        <f>IFERROR(RIGHT(Проливка[[#This Row],[Штрихкод ]],LEN(Проливка[[#This Row],[Штрихкод ]])-SEARCH("-",Проливка[[#This Row],[Штрихкод ]],1))," ")</f>
        <v xml:space="preserve"> </v>
      </c>
      <c r="Y715">
        <f>IFERROR(VLOOKUP(Проливка[[#This Row],[ID]]*1,'Срок хранения'!A715:B813,2,0),0)</f>
        <v>0</v>
      </c>
      <c r="Z715">
        <f>IFERROR(VLOOKUP(Проливка[[#This Row],[ID]]*1,'Срок хранения'!A715:C813,3,0),0)</f>
        <v>0</v>
      </c>
    </row>
    <row r="716" spans="1:26" x14ac:dyDescent="0.25">
      <c r="A716" s="9"/>
      <c r="B716" s="12" t="str">
        <f t="shared" si="45"/>
        <v xml:space="preserve"> </v>
      </c>
      <c r="C716" s="10" t="str">
        <f t="shared" si="44"/>
        <v xml:space="preserve"> </v>
      </c>
      <c r="D716" s="10">
        <f t="shared" si="46"/>
        <v>0</v>
      </c>
      <c r="E716" s="10">
        <f t="shared" si="47"/>
        <v>0</v>
      </c>
      <c r="W716" t="str">
        <f>IFERROR(MID(Проливка[[#This Row],[Штрихкод ]],1,FIND("-",Проливка[[#This Row],[Штрихкод ]],1)-1)," ")</f>
        <v xml:space="preserve"> </v>
      </c>
      <c r="X716" t="str">
        <f>IFERROR(RIGHT(Проливка[[#This Row],[Штрихкод ]],LEN(Проливка[[#This Row],[Штрихкод ]])-SEARCH("-",Проливка[[#This Row],[Штрихкод ]],1))," ")</f>
        <v xml:space="preserve"> </v>
      </c>
      <c r="Y716">
        <f>IFERROR(VLOOKUP(Проливка[[#This Row],[ID]]*1,'Срок хранения'!A716:B814,2,0),0)</f>
        <v>0</v>
      </c>
      <c r="Z716">
        <f>IFERROR(VLOOKUP(Проливка[[#This Row],[ID]]*1,'Срок хранения'!A716:C814,3,0),0)</f>
        <v>0</v>
      </c>
    </row>
    <row r="717" spans="1:26" x14ac:dyDescent="0.25">
      <c r="A717" s="9"/>
      <c r="B717" s="12" t="str">
        <f t="shared" si="45"/>
        <v xml:space="preserve"> </v>
      </c>
      <c r="C717" s="10" t="str">
        <f t="shared" si="44"/>
        <v xml:space="preserve"> </v>
      </c>
      <c r="D717" s="10">
        <f t="shared" si="46"/>
        <v>0</v>
      </c>
      <c r="E717" s="10">
        <f t="shared" si="47"/>
        <v>0</v>
      </c>
      <c r="W717" t="str">
        <f>IFERROR(MID(Проливка[[#This Row],[Штрихкод ]],1,FIND("-",Проливка[[#This Row],[Штрихкод ]],1)-1)," ")</f>
        <v xml:space="preserve"> </v>
      </c>
      <c r="X717" t="str">
        <f>IFERROR(RIGHT(Проливка[[#This Row],[Штрихкод ]],LEN(Проливка[[#This Row],[Штрихкод ]])-SEARCH("-",Проливка[[#This Row],[Штрихкод ]],1))," ")</f>
        <v xml:space="preserve"> </v>
      </c>
      <c r="Y717">
        <f>IFERROR(VLOOKUP(Проливка[[#This Row],[ID]]*1,'Срок хранения'!A717:B815,2,0),0)</f>
        <v>0</v>
      </c>
      <c r="Z717">
        <f>IFERROR(VLOOKUP(Проливка[[#This Row],[ID]]*1,'Срок хранения'!A717:C815,3,0),0)</f>
        <v>0</v>
      </c>
    </row>
    <row r="718" spans="1:26" x14ac:dyDescent="0.25">
      <c r="A718" s="9"/>
      <c r="B718" s="12" t="str">
        <f t="shared" si="45"/>
        <v xml:space="preserve"> </v>
      </c>
      <c r="C718" s="10" t="str">
        <f t="shared" si="44"/>
        <v xml:space="preserve"> </v>
      </c>
      <c r="D718" s="10">
        <f t="shared" si="46"/>
        <v>0</v>
      </c>
      <c r="E718" s="10">
        <f t="shared" si="47"/>
        <v>0</v>
      </c>
      <c r="W718" t="str">
        <f>IFERROR(MID(Проливка[[#This Row],[Штрихкод ]],1,FIND("-",Проливка[[#This Row],[Штрихкод ]],1)-1)," ")</f>
        <v xml:space="preserve"> </v>
      </c>
      <c r="X718" t="str">
        <f>IFERROR(RIGHT(Проливка[[#This Row],[Штрихкод ]],LEN(Проливка[[#This Row],[Штрихкод ]])-SEARCH("-",Проливка[[#This Row],[Штрихкод ]],1))," ")</f>
        <v xml:space="preserve"> </v>
      </c>
      <c r="Y718">
        <f>IFERROR(VLOOKUP(Проливка[[#This Row],[ID]]*1,'Срок хранения'!A718:B816,2,0),0)</f>
        <v>0</v>
      </c>
      <c r="Z718">
        <f>IFERROR(VLOOKUP(Проливка[[#This Row],[ID]]*1,'Срок хранения'!A718:C816,3,0),0)</f>
        <v>0</v>
      </c>
    </row>
    <row r="719" spans="1:26" x14ac:dyDescent="0.25">
      <c r="A719" s="9"/>
      <c r="B719" s="12" t="str">
        <f t="shared" si="45"/>
        <v xml:space="preserve"> </v>
      </c>
      <c r="C719" s="10" t="str">
        <f t="shared" si="44"/>
        <v xml:space="preserve"> </v>
      </c>
      <c r="D719" s="10">
        <f t="shared" si="46"/>
        <v>0</v>
      </c>
      <c r="E719" s="10">
        <f t="shared" si="47"/>
        <v>0</v>
      </c>
      <c r="W719" t="str">
        <f>IFERROR(MID(Проливка[[#This Row],[Штрихкод ]],1,FIND("-",Проливка[[#This Row],[Штрихкод ]],1)-1)," ")</f>
        <v xml:space="preserve"> </v>
      </c>
      <c r="X719" t="str">
        <f>IFERROR(RIGHT(Проливка[[#This Row],[Штрихкод ]],LEN(Проливка[[#This Row],[Штрихкод ]])-SEARCH("-",Проливка[[#This Row],[Штрихкод ]],1))," ")</f>
        <v xml:space="preserve"> </v>
      </c>
      <c r="Y719">
        <f>IFERROR(VLOOKUP(Проливка[[#This Row],[ID]]*1,'Срок хранения'!A719:B817,2,0),0)</f>
        <v>0</v>
      </c>
      <c r="Z719">
        <f>IFERROR(VLOOKUP(Проливка[[#This Row],[ID]]*1,'Срок хранения'!A719:C817,3,0),0)</f>
        <v>0</v>
      </c>
    </row>
    <row r="720" spans="1:26" x14ac:dyDescent="0.25">
      <c r="A720" s="9"/>
      <c r="B720" s="12" t="str">
        <f t="shared" si="45"/>
        <v xml:space="preserve"> </v>
      </c>
      <c r="C720" s="10" t="str">
        <f t="shared" si="44"/>
        <v xml:space="preserve"> </v>
      </c>
      <c r="D720" s="10">
        <f t="shared" si="46"/>
        <v>0</v>
      </c>
      <c r="E720" s="10">
        <f t="shared" si="47"/>
        <v>0</v>
      </c>
      <c r="W720" t="str">
        <f>IFERROR(MID(Проливка[[#This Row],[Штрихкод ]],1,FIND("-",Проливка[[#This Row],[Штрихкод ]],1)-1)," ")</f>
        <v xml:space="preserve"> </v>
      </c>
      <c r="X720" t="str">
        <f>IFERROR(RIGHT(Проливка[[#This Row],[Штрихкод ]],LEN(Проливка[[#This Row],[Штрихкод ]])-SEARCH("-",Проливка[[#This Row],[Штрихкод ]],1))," ")</f>
        <v xml:space="preserve"> </v>
      </c>
      <c r="Y720">
        <f>IFERROR(VLOOKUP(Проливка[[#This Row],[ID]]*1,'Срок хранения'!A720:B818,2,0),0)</f>
        <v>0</v>
      </c>
      <c r="Z720">
        <f>IFERROR(VLOOKUP(Проливка[[#This Row],[ID]]*1,'Срок хранения'!A720:C818,3,0),0)</f>
        <v>0</v>
      </c>
    </row>
    <row r="721" spans="1:26" x14ac:dyDescent="0.25">
      <c r="A721" s="9"/>
      <c r="B721" s="12" t="str">
        <f t="shared" si="45"/>
        <v xml:space="preserve"> </v>
      </c>
      <c r="C721" s="10" t="str">
        <f t="shared" si="44"/>
        <v xml:space="preserve"> </v>
      </c>
      <c r="D721" s="10">
        <f t="shared" si="46"/>
        <v>0</v>
      </c>
      <c r="E721" s="10">
        <f t="shared" si="47"/>
        <v>0</v>
      </c>
      <c r="W721" t="str">
        <f>IFERROR(MID(Проливка[[#This Row],[Штрихкод ]],1,FIND("-",Проливка[[#This Row],[Штрихкод ]],1)-1)," ")</f>
        <v xml:space="preserve"> </v>
      </c>
      <c r="X721" t="str">
        <f>IFERROR(RIGHT(Проливка[[#This Row],[Штрихкод ]],LEN(Проливка[[#This Row],[Штрихкод ]])-SEARCH("-",Проливка[[#This Row],[Штрихкод ]],1))," ")</f>
        <v xml:space="preserve"> </v>
      </c>
      <c r="Y721">
        <f>IFERROR(VLOOKUP(Проливка[[#This Row],[ID]]*1,'Срок хранения'!A721:B819,2,0),0)</f>
        <v>0</v>
      </c>
      <c r="Z721">
        <f>IFERROR(VLOOKUP(Проливка[[#This Row],[ID]]*1,'Срок хранения'!A721:C819,3,0),0)</f>
        <v>0</v>
      </c>
    </row>
    <row r="722" spans="1:26" x14ac:dyDescent="0.25">
      <c r="A722" s="9"/>
      <c r="B722" s="12" t="str">
        <f t="shared" si="45"/>
        <v xml:space="preserve"> </v>
      </c>
      <c r="C722" s="10" t="str">
        <f t="shared" si="44"/>
        <v xml:space="preserve"> </v>
      </c>
      <c r="D722" s="10">
        <f t="shared" si="46"/>
        <v>0</v>
      </c>
      <c r="E722" s="10">
        <f t="shared" si="47"/>
        <v>0</v>
      </c>
      <c r="W722" t="str">
        <f>IFERROR(MID(Проливка[[#This Row],[Штрихкод ]],1,FIND("-",Проливка[[#This Row],[Штрихкод ]],1)-1)," ")</f>
        <v xml:space="preserve"> </v>
      </c>
      <c r="X722" t="str">
        <f>IFERROR(RIGHT(Проливка[[#This Row],[Штрихкод ]],LEN(Проливка[[#This Row],[Штрихкод ]])-SEARCH("-",Проливка[[#This Row],[Штрихкод ]],1))," ")</f>
        <v xml:space="preserve"> </v>
      </c>
      <c r="Y722">
        <f>IFERROR(VLOOKUP(Проливка[[#This Row],[ID]]*1,'Срок хранения'!A722:B820,2,0),0)</f>
        <v>0</v>
      </c>
      <c r="Z722">
        <f>IFERROR(VLOOKUP(Проливка[[#This Row],[ID]]*1,'Срок хранения'!A722:C820,3,0),0)</f>
        <v>0</v>
      </c>
    </row>
    <row r="723" spans="1:26" x14ac:dyDescent="0.25">
      <c r="A723" s="9"/>
      <c r="B723" s="12" t="str">
        <f t="shared" si="45"/>
        <v xml:space="preserve"> </v>
      </c>
      <c r="C723" s="10" t="str">
        <f t="shared" si="44"/>
        <v xml:space="preserve"> </v>
      </c>
      <c r="D723" s="10">
        <f t="shared" si="46"/>
        <v>0</v>
      </c>
      <c r="E723" s="10">
        <f t="shared" si="47"/>
        <v>0</v>
      </c>
      <c r="W723" t="str">
        <f>IFERROR(MID(Проливка[[#This Row],[Штрихкод ]],1,FIND("-",Проливка[[#This Row],[Штрихкод ]],1)-1)," ")</f>
        <v xml:space="preserve"> </v>
      </c>
      <c r="X723" t="str">
        <f>IFERROR(RIGHT(Проливка[[#This Row],[Штрихкод ]],LEN(Проливка[[#This Row],[Штрихкод ]])-SEARCH("-",Проливка[[#This Row],[Штрихкод ]],1))," ")</f>
        <v xml:space="preserve"> </v>
      </c>
      <c r="Y723">
        <f>IFERROR(VLOOKUP(Проливка[[#This Row],[ID]]*1,'Срок хранения'!A723:B821,2,0),0)</f>
        <v>0</v>
      </c>
      <c r="Z723">
        <f>IFERROR(VLOOKUP(Проливка[[#This Row],[ID]]*1,'Срок хранения'!A723:C821,3,0),0)</f>
        <v>0</v>
      </c>
    </row>
    <row r="724" spans="1:26" x14ac:dyDescent="0.25">
      <c r="A724" s="9"/>
      <c r="B724" s="12" t="str">
        <f t="shared" si="45"/>
        <v xml:space="preserve"> </v>
      </c>
      <c r="C724" s="10" t="str">
        <f t="shared" si="44"/>
        <v xml:space="preserve"> </v>
      </c>
      <c r="D724" s="10">
        <f t="shared" si="46"/>
        <v>0</v>
      </c>
      <c r="E724" s="10">
        <f t="shared" si="47"/>
        <v>0</v>
      </c>
      <c r="W724" t="str">
        <f>IFERROR(MID(Проливка[[#This Row],[Штрихкод ]],1,FIND("-",Проливка[[#This Row],[Штрихкод ]],1)-1)," ")</f>
        <v xml:space="preserve"> </v>
      </c>
      <c r="X724" t="str">
        <f>IFERROR(RIGHT(Проливка[[#This Row],[Штрихкод ]],LEN(Проливка[[#This Row],[Штрихкод ]])-SEARCH("-",Проливка[[#This Row],[Штрихкод ]],1))," ")</f>
        <v xml:space="preserve"> </v>
      </c>
      <c r="Y724">
        <f>IFERROR(VLOOKUP(Проливка[[#This Row],[ID]]*1,'Срок хранения'!A724:B822,2,0),0)</f>
        <v>0</v>
      </c>
      <c r="Z724">
        <f>IFERROR(VLOOKUP(Проливка[[#This Row],[ID]]*1,'Срок хранения'!A724:C822,3,0),0)</f>
        <v>0</v>
      </c>
    </row>
    <row r="725" spans="1:26" x14ac:dyDescent="0.25">
      <c r="A725" s="9"/>
      <c r="B725" s="12" t="str">
        <f t="shared" si="45"/>
        <v xml:space="preserve"> </v>
      </c>
      <c r="C725" s="10" t="str">
        <f t="shared" si="44"/>
        <v xml:space="preserve"> </v>
      </c>
      <c r="D725" s="10">
        <f t="shared" si="46"/>
        <v>0</v>
      </c>
      <c r="E725" s="10">
        <f t="shared" si="47"/>
        <v>0</v>
      </c>
      <c r="W725" t="str">
        <f>IFERROR(MID(Проливка[[#This Row],[Штрихкод ]],1,FIND("-",Проливка[[#This Row],[Штрихкод ]],1)-1)," ")</f>
        <v xml:space="preserve"> </v>
      </c>
      <c r="X725" t="str">
        <f>IFERROR(RIGHT(Проливка[[#This Row],[Штрихкод ]],LEN(Проливка[[#This Row],[Штрихкод ]])-SEARCH("-",Проливка[[#This Row],[Штрихкод ]],1))," ")</f>
        <v xml:space="preserve"> </v>
      </c>
      <c r="Y725">
        <f>IFERROR(VLOOKUP(Проливка[[#This Row],[ID]]*1,'Срок хранения'!A725:B823,2,0),0)</f>
        <v>0</v>
      </c>
      <c r="Z725">
        <f>IFERROR(VLOOKUP(Проливка[[#This Row],[ID]]*1,'Срок хранения'!A725:C823,3,0),0)</f>
        <v>0</v>
      </c>
    </row>
    <row r="726" spans="1:26" x14ac:dyDescent="0.25">
      <c r="A726" s="9"/>
      <c r="B726" s="12" t="str">
        <f t="shared" si="45"/>
        <v xml:space="preserve"> </v>
      </c>
      <c r="C726" s="10" t="str">
        <f t="shared" si="44"/>
        <v xml:space="preserve"> </v>
      </c>
      <c r="D726" s="10">
        <f t="shared" si="46"/>
        <v>0</v>
      </c>
      <c r="E726" s="10">
        <f t="shared" si="47"/>
        <v>0</v>
      </c>
      <c r="W726" t="str">
        <f>IFERROR(MID(Проливка[[#This Row],[Штрихкод ]],1,FIND("-",Проливка[[#This Row],[Штрихкод ]],1)-1)," ")</f>
        <v xml:space="preserve"> </v>
      </c>
      <c r="X726" t="str">
        <f>IFERROR(RIGHT(Проливка[[#This Row],[Штрихкод ]],LEN(Проливка[[#This Row],[Штрихкод ]])-SEARCH("-",Проливка[[#This Row],[Штрихкод ]],1))," ")</f>
        <v xml:space="preserve"> </v>
      </c>
      <c r="Y726">
        <f>IFERROR(VLOOKUP(Проливка[[#This Row],[ID]]*1,'Срок хранения'!A726:B824,2,0),0)</f>
        <v>0</v>
      </c>
      <c r="Z726">
        <f>IFERROR(VLOOKUP(Проливка[[#This Row],[ID]]*1,'Срок хранения'!A726:C824,3,0),0)</f>
        <v>0</v>
      </c>
    </row>
    <row r="727" spans="1:26" x14ac:dyDescent="0.25">
      <c r="A727" s="9"/>
      <c r="B727" s="12" t="str">
        <f t="shared" si="45"/>
        <v xml:space="preserve"> </v>
      </c>
      <c r="C727" s="10" t="str">
        <f t="shared" si="44"/>
        <v xml:space="preserve"> </v>
      </c>
      <c r="D727" s="10">
        <f t="shared" si="46"/>
        <v>0</v>
      </c>
      <c r="E727" s="10">
        <f t="shared" si="47"/>
        <v>0</v>
      </c>
      <c r="W727" t="str">
        <f>IFERROR(MID(Проливка[[#This Row],[Штрихкод ]],1,FIND("-",Проливка[[#This Row],[Штрихкод ]],1)-1)," ")</f>
        <v xml:space="preserve"> </v>
      </c>
      <c r="X727" t="str">
        <f>IFERROR(RIGHT(Проливка[[#This Row],[Штрихкод ]],LEN(Проливка[[#This Row],[Штрихкод ]])-SEARCH("-",Проливка[[#This Row],[Штрихкод ]],1))," ")</f>
        <v xml:space="preserve"> </v>
      </c>
      <c r="Y727">
        <f>IFERROR(VLOOKUP(Проливка[[#This Row],[ID]]*1,'Срок хранения'!A727:B825,2,0),0)</f>
        <v>0</v>
      </c>
      <c r="Z727">
        <f>IFERROR(VLOOKUP(Проливка[[#This Row],[ID]]*1,'Срок хранения'!A727:C825,3,0),0)</f>
        <v>0</v>
      </c>
    </row>
    <row r="728" spans="1:26" x14ac:dyDescent="0.25">
      <c r="A728" s="9"/>
      <c r="B728" s="12" t="str">
        <f t="shared" si="45"/>
        <v xml:space="preserve"> </v>
      </c>
      <c r="C728" s="10" t="str">
        <f t="shared" si="44"/>
        <v xml:space="preserve"> </v>
      </c>
      <c r="D728" s="10">
        <f t="shared" si="46"/>
        <v>0</v>
      </c>
      <c r="E728" s="10">
        <f t="shared" si="47"/>
        <v>0</v>
      </c>
      <c r="W728" t="str">
        <f>IFERROR(MID(Проливка[[#This Row],[Штрихкод ]],1,FIND("-",Проливка[[#This Row],[Штрихкод ]],1)-1)," ")</f>
        <v xml:space="preserve"> </v>
      </c>
      <c r="X728" t="str">
        <f>IFERROR(RIGHT(Проливка[[#This Row],[Штрихкод ]],LEN(Проливка[[#This Row],[Штрихкод ]])-SEARCH("-",Проливка[[#This Row],[Штрихкод ]],1))," ")</f>
        <v xml:space="preserve"> </v>
      </c>
      <c r="Y728">
        <f>IFERROR(VLOOKUP(Проливка[[#This Row],[ID]]*1,'Срок хранения'!A728:B826,2,0),0)</f>
        <v>0</v>
      </c>
      <c r="Z728">
        <f>IFERROR(VLOOKUP(Проливка[[#This Row],[ID]]*1,'Срок хранения'!A728:C826,3,0),0)</f>
        <v>0</v>
      </c>
    </row>
    <row r="729" spans="1:26" x14ac:dyDescent="0.25">
      <c r="A729" s="9"/>
      <c r="B729" s="12" t="str">
        <f t="shared" si="45"/>
        <v xml:space="preserve"> </v>
      </c>
      <c r="C729" s="10" t="str">
        <f t="shared" si="44"/>
        <v xml:space="preserve"> </v>
      </c>
      <c r="D729" s="10">
        <f t="shared" si="46"/>
        <v>0</v>
      </c>
      <c r="E729" s="10">
        <f t="shared" si="47"/>
        <v>0</v>
      </c>
      <c r="W729" t="str">
        <f>IFERROR(MID(Проливка[[#This Row],[Штрихкод ]],1,FIND("-",Проливка[[#This Row],[Штрихкод ]],1)-1)," ")</f>
        <v xml:space="preserve"> </v>
      </c>
      <c r="X729" t="str">
        <f>IFERROR(RIGHT(Проливка[[#This Row],[Штрихкод ]],LEN(Проливка[[#This Row],[Штрихкод ]])-SEARCH("-",Проливка[[#This Row],[Штрихкод ]],1))," ")</f>
        <v xml:space="preserve"> </v>
      </c>
      <c r="Y729">
        <f>IFERROR(VLOOKUP(Проливка[[#This Row],[ID]]*1,'Срок хранения'!A729:B827,2,0),0)</f>
        <v>0</v>
      </c>
      <c r="Z729">
        <f>IFERROR(VLOOKUP(Проливка[[#This Row],[ID]]*1,'Срок хранения'!A729:C827,3,0),0)</f>
        <v>0</v>
      </c>
    </row>
    <row r="730" spans="1:26" x14ac:dyDescent="0.25">
      <c r="A730" s="9"/>
      <c r="B730" s="12" t="str">
        <f t="shared" si="45"/>
        <v xml:space="preserve"> </v>
      </c>
      <c r="C730" s="10" t="str">
        <f t="shared" si="44"/>
        <v xml:space="preserve"> </v>
      </c>
      <c r="D730" s="10">
        <f t="shared" si="46"/>
        <v>0</v>
      </c>
      <c r="E730" s="10">
        <f t="shared" si="47"/>
        <v>0</v>
      </c>
      <c r="W730" t="str">
        <f>IFERROR(MID(Проливка[[#This Row],[Штрихкод ]],1,FIND("-",Проливка[[#This Row],[Штрихкод ]],1)-1)," ")</f>
        <v xml:space="preserve"> </v>
      </c>
      <c r="X730" t="str">
        <f>IFERROR(RIGHT(Проливка[[#This Row],[Штрихкод ]],LEN(Проливка[[#This Row],[Штрихкод ]])-SEARCH("-",Проливка[[#This Row],[Штрихкод ]],1))," ")</f>
        <v xml:space="preserve"> </v>
      </c>
      <c r="Y730">
        <f>IFERROR(VLOOKUP(Проливка[[#This Row],[ID]]*1,'Срок хранения'!A730:B828,2,0),0)</f>
        <v>0</v>
      </c>
      <c r="Z730">
        <f>IFERROR(VLOOKUP(Проливка[[#This Row],[ID]]*1,'Срок хранения'!A730:C828,3,0),0)</f>
        <v>0</v>
      </c>
    </row>
    <row r="731" spans="1:26" x14ac:dyDescent="0.25">
      <c r="A731" s="9"/>
      <c r="B731" s="12" t="str">
        <f t="shared" si="45"/>
        <v xml:space="preserve"> </v>
      </c>
      <c r="C731" s="10" t="str">
        <f t="shared" si="44"/>
        <v xml:space="preserve"> </v>
      </c>
      <c r="D731" s="10">
        <f t="shared" si="46"/>
        <v>0</v>
      </c>
      <c r="E731" s="10">
        <f t="shared" si="47"/>
        <v>0</v>
      </c>
      <c r="W731" t="str">
        <f>IFERROR(MID(Проливка[[#This Row],[Штрихкод ]],1,FIND("-",Проливка[[#This Row],[Штрихкод ]],1)-1)," ")</f>
        <v xml:space="preserve"> </v>
      </c>
      <c r="X731" t="str">
        <f>IFERROR(RIGHT(Проливка[[#This Row],[Штрихкод ]],LEN(Проливка[[#This Row],[Штрихкод ]])-SEARCH("-",Проливка[[#This Row],[Штрихкод ]],1))," ")</f>
        <v xml:space="preserve"> </v>
      </c>
      <c r="Y731">
        <f>IFERROR(VLOOKUP(Проливка[[#This Row],[ID]]*1,'Срок хранения'!A731:B829,2,0),0)</f>
        <v>0</v>
      </c>
      <c r="Z731">
        <f>IFERROR(VLOOKUP(Проливка[[#This Row],[ID]]*1,'Срок хранения'!A731:C829,3,0),0)</f>
        <v>0</v>
      </c>
    </row>
    <row r="732" spans="1:26" x14ac:dyDescent="0.25">
      <c r="A732" s="9"/>
      <c r="B732" s="12" t="str">
        <f t="shared" si="45"/>
        <v xml:space="preserve"> </v>
      </c>
      <c r="C732" s="10" t="str">
        <f t="shared" si="44"/>
        <v xml:space="preserve"> </v>
      </c>
      <c r="D732" s="10">
        <f t="shared" si="46"/>
        <v>0</v>
      </c>
      <c r="E732" s="10">
        <f t="shared" si="47"/>
        <v>0</v>
      </c>
      <c r="W732" t="str">
        <f>IFERROR(MID(Проливка[[#This Row],[Штрихкод ]],1,FIND("-",Проливка[[#This Row],[Штрихкод ]],1)-1)," ")</f>
        <v xml:space="preserve"> </v>
      </c>
      <c r="X732" t="str">
        <f>IFERROR(RIGHT(Проливка[[#This Row],[Штрихкод ]],LEN(Проливка[[#This Row],[Штрихкод ]])-SEARCH("-",Проливка[[#This Row],[Штрихкод ]],1))," ")</f>
        <v xml:space="preserve"> </v>
      </c>
      <c r="Y732">
        <f>IFERROR(VLOOKUP(Проливка[[#This Row],[ID]]*1,'Срок хранения'!A732:B830,2,0),0)</f>
        <v>0</v>
      </c>
      <c r="Z732">
        <f>IFERROR(VLOOKUP(Проливка[[#This Row],[ID]]*1,'Срок хранения'!A732:C830,3,0),0)</f>
        <v>0</v>
      </c>
    </row>
    <row r="733" spans="1:26" x14ac:dyDescent="0.25">
      <c r="A733" s="9"/>
      <c r="B733" s="12" t="str">
        <f t="shared" si="45"/>
        <v xml:space="preserve"> </v>
      </c>
      <c r="C733" s="10" t="str">
        <f t="shared" si="44"/>
        <v xml:space="preserve"> </v>
      </c>
      <c r="D733" s="10">
        <f t="shared" si="46"/>
        <v>0</v>
      </c>
      <c r="E733" s="10">
        <f t="shared" si="47"/>
        <v>0</v>
      </c>
      <c r="W733" t="str">
        <f>IFERROR(MID(Проливка[[#This Row],[Штрихкод ]],1,FIND("-",Проливка[[#This Row],[Штрихкод ]],1)-1)," ")</f>
        <v xml:space="preserve"> </v>
      </c>
      <c r="X733" t="str">
        <f>IFERROR(RIGHT(Проливка[[#This Row],[Штрихкод ]],LEN(Проливка[[#This Row],[Штрихкод ]])-SEARCH("-",Проливка[[#This Row],[Штрихкод ]],1))," ")</f>
        <v xml:space="preserve"> </v>
      </c>
      <c r="Y733">
        <f>IFERROR(VLOOKUP(Проливка[[#This Row],[ID]]*1,'Срок хранения'!A733:B831,2,0),0)</f>
        <v>0</v>
      </c>
      <c r="Z733">
        <f>IFERROR(VLOOKUP(Проливка[[#This Row],[ID]]*1,'Срок хранения'!A733:C831,3,0),0)</f>
        <v>0</v>
      </c>
    </row>
    <row r="734" spans="1:26" x14ac:dyDescent="0.25">
      <c r="A734" s="9"/>
      <c r="B734" s="12" t="str">
        <f t="shared" si="45"/>
        <v xml:space="preserve"> </v>
      </c>
      <c r="C734" s="10" t="str">
        <f t="shared" si="44"/>
        <v xml:space="preserve"> </v>
      </c>
      <c r="D734" s="10">
        <f t="shared" si="46"/>
        <v>0</v>
      </c>
      <c r="E734" s="10">
        <f t="shared" si="47"/>
        <v>0</v>
      </c>
      <c r="W734" t="str">
        <f>IFERROR(MID(Проливка[[#This Row],[Штрихкод ]],1,FIND("-",Проливка[[#This Row],[Штрихкод ]],1)-1)," ")</f>
        <v xml:space="preserve"> </v>
      </c>
      <c r="X734" t="str">
        <f>IFERROR(RIGHT(Проливка[[#This Row],[Штрихкод ]],LEN(Проливка[[#This Row],[Штрихкод ]])-SEARCH("-",Проливка[[#This Row],[Штрихкод ]],1))," ")</f>
        <v xml:space="preserve"> </v>
      </c>
      <c r="Y734">
        <f>IFERROR(VLOOKUP(Проливка[[#This Row],[ID]]*1,'Срок хранения'!A734:B832,2,0),0)</f>
        <v>0</v>
      </c>
      <c r="Z734">
        <f>IFERROR(VLOOKUP(Проливка[[#This Row],[ID]]*1,'Срок хранения'!A734:C832,3,0),0)</f>
        <v>0</v>
      </c>
    </row>
    <row r="735" spans="1:26" x14ac:dyDescent="0.25">
      <c r="A735" s="9"/>
      <c r="B735" s="12" t="str">
        <f t="shared" si="45"/>
        <v xml:space="preserve"> </v>
      </c>
      <c r="C735" s="10" t="str">
        <f t="shared" si="44"/>
        <v xml:space="preserve"> </v>
      </c>
      <c r="D735" s="10">
        <f t="shared" si="46"/>
        <v>0</v>
      </c>
      <c r="E735" s="10">
        <f t="shared" si="47"/>
        <v>0</v>
      </c>
      <c r="W735" t="str">
        <f>IFERROR(MID(Проливка[[#This Row],[Штрихкод ]],1,FIND("-",Проливка[[#This Row],[Штрихкод ]],1)-1)," ")</f>
        <v xml:space="preserve"> </v>
      </c>
      <c r="X735" t="str">
        <f>IFERROR(RIGHT(Проливка[[#This Row],[Штрихкод ]],LEN(Проливка[[#This Row],[Штрихкод ]])-SEARCH("-",Проливка[[#This Row],[Штрихкод ]],1))," ")</f>
        <v xml:space="preserve"> </v>
      </c>
      <c r="Y735">
        <f>IFERROR(VLOOKUP(Проливка[[#This Row],[ID]]*1,'Срок хранения'!A735:B833,2,0),0)</f>
        <v>0</v>
      </c>
      <c r="Z735">
        <f>IFERROR(VLOOKUP(Проливка[[#This Row],[ID]]*1,'Срок хранения'!A735:C833,3,0),0)</f>
        <v>0</v>
      </c>
    </row>
    <row r="736" spans="1:26" x14ac:dyDescent="0.25">
      <c r="A736" s="9"/>
      <c r="B736" s="12" t="str">
        <f t="shared" si="45"/>
        <v xml:space="preserve"> </v>
      </c>
      <c r="C736" s="10" t="str">
        <f t="shared" si="44"/>
        <v xml:space="preserve"> </v>
      </c>
      <c r="D736" s="10">
        <f t="shared" si="46"/>
        <v>0</v>
      </c>
      <c r="E736" s="10">
        <f t="shared" si="47"/>
        <v>0</v>
      </c>
      <c r="W736" t="str">
        <f>IFERROR(MID(Проливка[[#This Row],[Штрихкод ]],1,FIND("-",Проливка[[#This Row],[Штрихкод ]],1)-1)," ")</f>
        <v xml:space="preserve"> </v>
      </c>
      <c r="X736" t="str">
        <f>IFERROR(RIGHT(Проливка[[#This Row],[Штрихкод ]],LEN(Проливка[[#This Row],[Штрихкод ]])-SEARCH("-",Проливка[[#This Row],[Штрихкод ]],1))," ")</f>
        <v xml:space="preserve"> </v>
      </c>
      <c r="Y736">
        <f>IFERROR(VLOOKUP(Проливка[[#This Row],[ID]]*1,'Срок хранения'!A736:B834,2,0),0)</f>
        <v>0</v>
      </c>
      <c r="Z736">
        <f>IFERROR(VLOOKUP(Проливка[[#This Row],[ID]]*1,'Срок хранения'!A736:C834,3,0),0)</f>
        <v>0</v>
      </c>
    </row>
    <row r="737" spans="1:26" x14ac:dyDescent="0.25">
      <c r="A737" s="9"/>
      <c r="B737" s="12" t="str">
        <f t="shared" si="45"/>
        <v xml:space="preserve"> </v>
      </c>
      <c r="C737" s="10" t="str">
        <f t="shared" si="44"/>
        <v xml:space="preserve"> </v>
      </c>
      <c r="D737" s="10">
        <f t="shared" si="46"/>
        <v>0</v>
      </c>
      <c r="E737" s="10">
        <f t="shared" si="47"/>
        <v>0</v>
      </c>
      <c r="W737" t="str">
        <f>IFERROR(MID(Проливка[[#This Row],[Штрихкод ]],1,FIND("-",Проливка[[#This Row],[Штрихкод ]],1)-1)," ")</f>
        <v xml:space="preserve"> </v>
      </c>
      <c r="X737" t="str">
        <f>IFERROR(RIGHT(Проливка[[#This Row],[Штрихкод ]],LEN(Проливка[[#This Row],[Штрихкод ]])-SEARCH("-",Проливка[[#This Row],[Штрихкод ]],1))," ")</f>
        <v xml:space="preserve"> </v>
      </c>
      <c r="Y737">
        <f>IFERROR(VLOOKUP(Проливка[[#This Row],[ID]]*1,'Срок хранения'!A737:B835,2,0),0)</f>
        <v>0</v>
      </c>
      <c r="Z737">
        <f>IFERROR(VLOOKUP(Проливка[[#This Row],[ID]]*1,'Срок хранения'!A737:C835,3,0),0)</f>
        <v>0</v>
      </c>
    </row>
    <row r="738" spans="1:26" x14ac:dyDescent="0.25">
      <c r="A738" s="9"/>
      <c r="B738" s="12" t="str">
        <f t="shared" si="45"/>
        <v xml:space="preserve"> </v>
      </c>
      <c r="C738" s="10" t="str">
        <f t="shared" si="44"/>
        <v xml:space="preserve"> </v>
      </c>
      <c r="D738" s="10">
        <f t="shared" si="46"/>
        <v>0</v>
      </c>
      <c r="E738" s="10">
        <f t="shared" si="47"/>
        <v>0</v>
      </c>
      <c r="W738" t="str">
        <f>IFERROR(MID(Проливка[[#This Row],[Штрихкод ]],1,FIND("-",Проливка[[#This Row],[Штрихкод ]],1)-1)," ")</f>
        <v xml:space="preserve"> </v>
      </c>
      <c r="X738" t="str">
        <f>IFERROR(RIGHT(Проливка[[#This Row],[Штрихкод ]],LEN(Проливка[[#This Row],[Штрихкод ]])-SEARCH("-",Проливка[[#This Row],[Штрихкод ]],1))," ")</f>
        <v xml:space="preserve"> </v>
      </c>
      <c r="Y738">
        <f>IFERROR(VLOOKUP(Проливка[[#This Row],[ID]]*1,'Срок хранения'!A738:B836,2,0),0)</f>
        <v>0</v>
      </c>
      <c r="Z738">
        <f>IFERROR(VLOOKUP(Проливка[[#This Row],[ID]]*1,'Срок хранения'!A738:C836,3,0),0)</f>
        <v>0</v>
      </c>
    </row>
    <row r="739" spans="1:26" x14ac:dyDescent="0.25">
      <c r="A739" s="9"/>
      <c r="B739" s="12" t="str">
        <f t="shared" si="45"/>
        <v xml:space="preserve"> </v>
      </c>
      <c r="C739" s="10" t="str">
        <f t="shared" si="44"/>
        <v xml:space="preserve"> </v>
      </c>
      <c r="D739" s="10">
        <f t="shared" si="46"/>
        <v>0</v>
      </c>
      <c r="E739" s="10">
        <f t="shared" si="47"/>
        <v>0</v>
      </c>
      <c r="W739" t="str">
        <f>IFERROR(MID(Проливка[[#This Row],[Штрихкод ]],1,FIND("-",Проливка[[#This Row],[Штрихкод ]],1)-1)," ")</f>
        <v xml:space="preserve"> </v>
      </c>
      <c r="X739" t="str">
        <f>IFERROR(RIGHT(Проливка[[#This Row],[Штрихкод ]],LEN(Проливка[[#This Row],[Штрихкод ]])-SEARCH("-",Проливка[[#This Row],[Штрихкод ]],1))," ")</f>
        <v xml:space="preserve"> </v>
      </c>
      <c r="Y739">
        <f>IFERROR(VLOOKUP(Проливка[[#This Row],[ID]]*1,'Срок хранения'!A739:B837,2,0),0)</f>
        <v>0</v>
      </c>
      <c r="Z739">
        <f>IFERROR(VLOOKUP(Проливка[[#This Row],[ID]]*1,'Срок хранения'!A739:C837,3,0),0)</f>
        <v>0</v>
      </c>
    </row>
    <row r="740" spans="1:26" x14ac:dyDescent="0.25">
      <c r="A740" s="9"/>
      <c r="B740" s="12" t="str">
        <f t="shared" si="45"/>
        <v xml:space="preserve"> </v>
      </c>
      <c r="C740" s="10" t="str">
        <f t="shared" si="44"/>
        <v xml:space="preserve"> </v>
      </c>
      <c r="D740" s="10">
        <f t="shared" si="46"/>
        <v>0</v>
      </c>
      <c r="E740" s="10">
        <f t="shared" si="47"/>
        <v>0</v>
      </c>
      <c r="W740" t="str">
        <f>IFERROR(MID(Проливка[[#This Row],[Штрихкод ]],1,FIND("-",Проливка[[#This Row],[Штрихкод ]],1)-1)," ")</f>
        <v xml:space="preserve"> </v>
      </c>
      <c r="X740" t="str">
        <f>IFERROR(RIGHT(Проливка[[#This Row],[Штрихкод ]],LEN(Проливка[[#This Row],[Штрихкод ]])-SEARCH("-",Проливка[[#This Row],[Штрихкод ]],1))," ")</f>
        <v xml:space="preserve"> </v>
      </c>
      <c r="Y740">
        <f>IFERROR(VLOOKUP(Проливка[[#This Row],[ID]]*1,'Срок хранения'!A740:B838,2,0),0)</f>
        <v>0</v>
      </c>
      <c r="Z740">
        <f>IFERROR(VLOOKUP(Проливка[[#This Row],[ID]]*1,'Срок хранения'!A740:C838,3,0),0)</f>
        <v>0</v>
      </c>
    </row>
    <row r="741" spans="1:26" x14ac:dyDescent="0.25">
      <c r="A741" s="9"/>
      <c r="B741" s="12" t="str">
        <f t="shared" si="45"/>
        <v xml:space="preserve"> </v>
      </c>
      <c r="C741" s="10" t="str">
        <f t="shared" si="44"/>
        <v xml:space="preserve"> </v>
      </c>
      <c r="D741" s="10">
        <f t="shared" si="46"/>
        <v>0</v>
      </c>
      <c r="E741" s="10">
        <f t="shared" si="47"/>
        <v>0</v>
      </c>
      <c r="W741" t="str">
        <f>IFERROR(MID(Проливка[[#This Row],[Штрихкод ]],1,FIND("-",Проливка[[#This Row],[Штрихкод ]],1)-1)," ")</f>
        <v xml:space="preserve"> </v>
      </c>
      <c r="X741" t="str">
        <f>IFERROR(RIGHT(Проливка[[#This Row],[Штрихкод ]],LEN(Проливка[[#This Row],[Штрихкод ]])-SEARCH("-",Проливка[[#This Row],[Штрихкод ]],1))," ")</f>
        <v xml:space="preserve"> </v>
      </c>
      <c r="Y741">
        <f>IFERROR(VLOOKUP(Проливка[[#This Row],[ID]]*1,'Срок хранения'!A741:B839,2,0),0)</f>
        <v>0</v>
      </c>
      <c r="Z741">
        <f>IFERROR(VLOOKUP(Проливка[[#This Row],[ID]]*1,'Срок хранения'!A741:C839,3,0),0)</f>
        <v>0</v>
      </c>
    </row>
    <row r="742" spans="1:26" x14ac:dyDescent="0.25">
      <c r="A742" s="9"/>
      <c r="B742" s="12" t="str">
        <f t="shared" si="45"/>
        <v xml:space="preserve"> </v>
      </c>
      <c r="C742" s="10" t="str">
        <f t="shared" si="44"/>
        <v xml:space="preserve"> </v>
      </c>
      <c r="D742" s="10">
        <f t="shared" si="46"/>
        <v>0</v>
      </c>
      <c r="E742" s="10">
        <f t="shared" si="47"/>
        <v>0</v>
      </c>
      <c r="W742" t="str">
        <f>IFERROR(MID(Проливка[[#This Row],[Штрихкод ]],1,FIND("-",Проливка[[#This Row],[Штрихкод ]],1)-1)," ")</f>
        <v xml:space="preserve"> </v>
      </c>
      <c r="X742" t="str">
        <f>IFERROR(RIGHT(Проливка[[#This Row],[Штрихкод ]],LEN(Проливка[[#This Row],[Штрихкод ]])-SEARCH("-",Проливка[[#This Row],[Штрихкод ]],1))," ")</f>
        <v xml:space="preserve"> </v>
      </c>
      <c r="Y742">
        <f>IFERROR(VLOOKUP(Проливка[[#This Row],[ID]]*1,'Срок хранения'!A742:B840,2,0),0)</f>
        <v>0</v>
      </c>
      <c r="Z742">
        <f>IFERROR(VLOOKUP(Проливка[[#This Row],[ID]]*1,'Срок хранения'!A742:C840,3,0),0)</f>
        <v>0</v>
      </c>
    </row>
    <row r="743" spans="1:26" x14ac:dyDescent="0.25">
      <c r="A743" s="9"/>
      <c r="B743" s="12" t="str">
        <f t="shared" si="45"/>
        <v xml:space="preserve"> </v>
      </c>
      <c r="C743" s="10" t="str">
        <f t="shared" si="44"/>
        <v xml:space="preserve"> </v>
      </c>
      <c r="D743" s="10">
        <f t="shared" si="46"/>
        <v>0</v>
      </c>
      <c r="E743" s="10">
        <f t="shared" si="47"/>
        <v>0</v>
      </c>
      <c r="W743" t="str">
        <f>IFERROR(MID(Проливка[[#This Row],[Штрихкод ]],1,FIND("-",Проливка[[#This Row],[Штрихкод ]],1)-1)," ")</f>
        <v xml:space="preserve"> </v>
      </c>
      <c r="X743" t="str">
        <f>IFERROR(RIGHT(Проливка[[#This Row],[Штрихкод ]],LEN(Проливка[[#This Row],[Штрихкод ]])-SEARCH("-",Проливка[[#This Row],[Штрихкод ]],1))," ")</f>
        <v xml:space="preserve"> </v>
      </c>
      <c r="Y743">
        <f>IFERROR(VLOOKUP(Проливка[[#This Row],[ID]]*1,'Срок хранения'!A743:B841,2,0),0)</f>
        <v>0</v>
      </c>
      <c r="Z743">
        <f>IFERROR(VLOOKUP(Проливка[[#This Row],[ID]]*1,'Срок хранения'!A743:C841,3,0),0)</f>
        <v>0</v>
      </c>
    </row>
    <row r="744" spans="1:26" x14ac:dyDescent="0.25">
      <c r="A744" s="9"/>
      <c r="B744" s="12" t="str">
        <f t="shared" si="45"/>
        <v xml:space="preserve"> </v>
      </c>
      <c r="C744" s="10" t="str">
        <f t="shared" si="44"/>
        <v xml:space="preserve"> </v>
      </c>
      <c r="D744" s="10">
        <f t="shared" si="46"/>
        <v>0</v>
      </c>
      <c r="E744" s="10">
        <f t="shared" si="47"/>
        <v>0</v>
      </c>
      <c r="W744" t="str">
        <f>IFERROR(MID(Проливка[[#This Row],[Штрихкод ]],1,FIND("-",Проливка[[#This Row],[Штрихкод ]],1)-1)," ")</f>
        <v xml:space="preserve"> </v>
      </c>
      <c r="X744" t="str">
        <f>IFERROR(RIGHT(Проливка[[#This Row],[Штрихкод ]],LEN(Проливка[[#This Row],[Штрихкод ]])-SEARCH("-",Проливка[[#This Row],[Штрихкод ]],1))," ")</f>
        <v xml:space="preserve"> </v>
      </c>
      <c r="Y744">
        <f>IFERROR(VLOOKUP(Проливка[[#This Row],[ID]]*1,'Срок хранения'!A744:B842,2,0),0)</f>
        <v>0</v>
      </c>
      <c r="Z744">
        <f>IFERROR(VLOOKUP(Проливка[[#This Row],[ID]]*1,'Срок хранения'!A744:C842,3,0),0)</f>
        <v>0</v>
      </c>
    </row>
    <row r="745" spans="1:26" x14ac:dyDescent="0.25">
      <c r="A745" s="9"/>
      <c r="B745" s="12" t="str">
        <f t="shared" si="45"/>
        <v xml:space="preserve"> </v>
      </c>
      <c r="C745" s="10" t="str">
        <f t="shared" si="44"/>
        <v xml:space="preserve"> </v>
      </c>
      <c r="D745" s="10">
        <f t="shared" si="46"/>
        <v>0</v>
      </c>
      <c r="E745" s="10">
        <f t="shared" si="47"/>
        <v>0</v>
      </c>
      <c r="W745" t="str">
        <f>IFERROR(MID(Проливка[[#This Row],[Штрихкод ]],1,FIND("-",Проливка[[#This Row],[Штрихкод ]],1)-1)," ")</f>
        <v xml:space="preserve"> </v>
      </c>
      <c r="X745" t="str">
        <f>IFERROR(RIGHT(Проливка[[#This Row],[Штрихкод ]],LEN(Проливка[[#This Row],[Штрихкод ]])-SEARCH("-",Проливка[[#This Row],[Штрихкод ]],1))," ")</f>
        <v xml:space="preserve"> </v>
      </c>
      <c r="Y745">
        <f>IFERROR(VLOOKUP(Проливка[[#This Row],[ID]]*1,'Срок хранения'!A745:B843,2,0),0)</f>
        <v>0</v>
      </c>
      <c r="Z745">
        <f>IFERROR(VLOOKUP(Проливка[[#This Row],[ID]]*1,'Срок хранения'!A745:C843,3,0),0)</f>
        <v>0</v>
      </c>
    </row>
    <row r="746" spans="1:26" x14ac:dyDescent="0.25">
      <c r="A746" s="9"/>
      <c r="B746" s="12" t="str">
        <f t="shared" si="45"/>
        <v xml:space="preserve"> </v>
      </c>
      <c r="C746" s="10" t="str">
        <f t="shared" si="44"/>
        <v xml:space="preserve"> </v>
      </c>
      <c r="D746" s="10">
        <f t="shared" si="46"/>
        <v>0</v>
      </c>
      <c r="E746" s="10">
        <f t="shared" si="47"/>
        <v>0</v>
      </c>
      <c r="W746" t="str">
        <f>IFERROR(MID(Проливка[[#This Row],[Штрихкод ]],1,FIND("-",Проливка[[#This Row],[Штрихкод ]],1)-1)," ")</f>
        <v xml:space="preserve"> </v>
      </c>
      <c r="X746" t="str">
        <f>IFERROR(RIGHT(Проливка[[#This Row],[Штрихкод ]],LEN(Проливка[[#This Row],[Штрихкод ]])-SEARCH("-",Проливка[[#This Row],[Штрихкод ]],1))," ")</f>
        <v xml:space="preserve"> </v>
      </c>
      <c r="Y746">
        <f>IFERROR(VLOOKUP(Проливка[[#This Row],[ID]]*1,'Срок хранения'!A746:B844,2,0),0)</f>
        <v>0</v>
      </c>
      <c r="Z746">
        <f>IFERROR(VLOOKUP(Проливка[[#This Row],[ID]]*1,'Срок хранения'!A746:C844,3,0),0)</f>
        <v>0</v>
      </c>
    </row>
    <row r="747" spans="1:26" x14ac:dyDescent="0.25">
      <c r="A747" s="9"/>
      <c r="B747" s="12" t="str">
        <f t="shared" si="45"/>
        <v xml:space="preserve"> </v>
      </c>
      <c r="C747" s="10" t="str">
        <f t="shared" si="44"/>
        <v xml:space="preserve"> </v>
      </c>
      <c r="D747" s="10">
        <f t="shared" si="46"/>
        <v>0</v>
      </c>
      <c r="E747" s="10">
        <f t="shared" si="47"/>
        <v>0</v>
      </c>
      <c r="W747" t="str">
        <f>IFERROR(MID(Проливка[[#This Row],[Штрихкод ]],1,FIND("-",Проливка[[#This Row],[Штрихкод ]],1)-1)," ")</f>
        <v xml:space="preserve"> </v>
      </c>
      <c r="X747" t="str">
        <f>IFERROR(RIGHT(Проливка[[#This Row],[Штрихкод ]],LEN(Проливка[[#This Row],[Штрихкод ]])-SEARCH("-",Проливка[[#This Row],[Штрихкод ]],1))," ")</f>
        <v xml:space="preserve"> </v>
      </c>
      <c r="Y747">
        <f>IFERROR(VLOOKUP(Проливка[[#This Row],[ID]]*1,'Срок хранения'!A747:B845,2,0),0)</f>
        <v>0</v>
      </c>
      <c r="Z747">
        <f>IFERROR(VLOOKUP(Проливка[[#This Row],[ID]]*1,'Срок хранения'!A747:C845,3,0),0)</f>
        <v>0</v>
      </c>
    </row>
    <row r="748" spans="1:26" x14ac:dyDescent="0.25">
      <c r="A748" s="9"/>
      <c r="B748" s="12" t="str">
        <f t="shared" si="45"/>
        <v xml:space="preserve"> </v>
      </c>
      <c r="C748" s="10" t="str">
        <f t="shared" si="44"/>
        <v xml:space="preserve"> </v>
      </c>
      <c r="D748" s="10">
        <f t="shared" si="46"/>
        <v>0</v>
      </c>
      <c r="E748" s="10">
        <f t="shared" si="47"/>
        <v>0</v>
      </c>
      <c r="W748" t="str">
        <f>IFERROR(MID(Проливка[[#This Row],[Штрихкод ]],1,FIND("-",Проливка[[#This Row],[Штрихкод ]],1)-1)," ")</f>
        <v xml:space="preserve"> </v>
      </c>
      <c r="X748" t="str">
        <f>IFERROR(RIGHT(Проливка[[#This Row],[Штрихкод ]],LEN(Проливка[[#This Row],[Штрихкод ]])-SEARCH("-",Проливка[[#This Row],[Штрихкод ]],1))," ")</f>
        <v xml:space="preserve"> </v>
      </c>
      <c r="Y748">
        <f>IFERROR(VLOOKUP(Проливка[[#This Row],[ID]]*1,'Срок хранения'!A748:B846,2,0),0)</f>
        <v>0</v>
      </c>
      <c r="Z748">
        <f>IFERROR(VLOOKUP(Проливка[[#This Row],[ID]]*1,'Срок хранения'!A748:C846,3,0),0)</f>
        <v>0</v>
      </c>
    </row>
    <row r="749" spans="1:26" x14ac:dyDescent="0.25">
      <c r="A749" s="9"/>
      <c r="B749" s="12" t="str">
        <f t="shared" si="45"/>
        <v xml:space="preserve"> </v>
      </c>
      <c r="C749" s="10" t="str">
        <f t="shared" si="44"/>
        <v xml:space="preserve"> </v>
      </c>
      <c r="D749" s="10">
        <f t="shared" si="46"/>
        <v>0</v>
      </c>
      <c r="E749" s="10">
        <f t="shared" si="47"/>
        <v>0</v>
      </c>
      <c r="W749" t="str">
        <f>IFERROR(MID(Проливка[[#This Row],[Штрихкод ]],1,FIND("-",Проливка[[#This Row],[Штрихкод ]],1)-1)," ")</f>
        <v xml:space="preserve"> </v>
      </c>
      <c r="X749" t="str">
        <f>IFERROR(RIGHT(Проливка[[#This Row],[Штрихкод ]],LEN(Проливка[[#This Row],[Штрихкод ]])-SEARCH("-",Проливка[[#This Row],[Штрихкод ]],1))," ")</f>
        <v xml:space="preserve"> </v>
      </c>
      <c r="Y749">
        <f>IFERROR(VLOOKUP(Проливка[[#This Row],[ID]]*1,'Срок хранения'!A749:B847,2,0),0)</f>
        <v>0</v>
      </c>
      <c r="Z749">
        <f>IFERROR(VLOOKUP(Проливка[[#This Row],[ID]]*1,'Срок хранения'!A749:C847,3,0),0)</f>
        <v>0</v>
      </c>
    </row>
    <row r="750" spans="1:26" x14ac:dyDescent="0.25">
      <c r="A750" s="9"/>
      <c r="B750" s="12" t="str">
        <f t="shared" si="45"/>
        <v xml:space="preserve"> </v>
      </c>
      <c r="C750" s="10" t="str">
        <f t="shared" si="44"/>
        <v xml:space="preserve"> </v>
      </c>
      <c r="D750" s="10">
        <f t="shared" si="46"/>
        <v>0</v>
      </c>
      <c r="E750" s="10">
        <f t="shared" si="47"/>
        <v>0</v>
      </c>
      <c r="W750" t="str">
        <f>IFERROR(MID(Проливка[[#This Row],[Штрихкод ]],1,FIND("-",Проливка[[#This Row],[Штрихкод ]],1)-1)," ")</f>
        <v xml:space="preserve"> </v>
      </c>
      <c r="X750" t="str">
        <f>IFERROR(RIGHT(Проливка[[#This Row],[Штрихкод ]],LEN(Проливка[[#This Row],[Штрихкод ]])-SEARCH("-",Проливка[[#This Row],[Штрихкод ]],1))," ")</f>
        <v xml:space="preserve"> </v>
      </c>
      <c r="Y750">
        <f>IFERROR(VLOOKUP(Проливка[[#This Row],[ID]]*1,'Срок хранения'!A750:B848,2,0),0)</f>
        <v>0</v>
      </c>
      <c r="Z750">
        <f>IFERROR(VLOOKUP(Проливка[[#This Row],[ID]]*1,'Срок хранения'!A750:C848,3,0),0)</f>
        <v>0</v>
      </c>
    </row>
    <row r="751" spans="1:26" x14ac:dyDescent="0.25">
      <c r="A751" s="9"/>
      <c r="B751" s="12" t="str">
        <f t="shared" si="45"/>
        <v xml:space="preserve"> </v>
      </c>
      <c r="C751" s="10" t="str">
        <f t="shared" si="44"/>
        <v xml:space="preserve"> </v>
      </c>
      <c r="D751" s="10">
        <f t="shared" si="46"/>
        <v>0</v>
      </c>
      <c r="E751" s="10">
        <f t="shared" si="47"/>
        <v>0</v>
      </c>
      <c r="W751" t="str">
        <f>IFERROR(MID(Проливка[[#This Row],[Штрихкод ]],1,FIND("-",Проливка[[#This Row],[Штрихкод ]],1)-1)," ")</f>
        <v xml:space="preserve"> </v>
      </c>
      <c r="X751" t="str">
        <f>IFERROR(RIGHT(Проливка[[#This Row],[Штрихкод ]],LEN(Проливка[[#This Row],[Штрихкод ]])-SEARCH("-",Проливка[[#This Row],[Штрихкод ]],1))," ")</f>
        <v xml:space="preserve"> </v>
      </c>
      <c r="Y751">
        <f>IFERROR(VLOOKUP(Проливка[[#This Row],[ID]]*1,'Срок хранения'!A751:B849,2,0),0)</f>
        <v>0</v>
      </c>
      <c r="Z751">
        <f>IFERROR(VLOOKUP(Проливка[[#This Row],[ID]]*1,'Срок хранения'!A751:C849,3,0),0)</f>
        <v>0</v>
      </c>
    </row>
    <row r="752" spans="1:26" x14ac:dyDescent="0.25">
      <c r="A752" s="9"/>
      <c r="B752" s="12" t="str">
        <f t="shared" si="45"/>
        <v xml:space="preserve"> </v>
      </c>
      <c r="C752" s="10" t="str">
        <f t="shared" si="44"/>
        <v xml:space="preserve"> </v>
      </c>
      <c r="D752" s="10">
        <f t="shared" si="46"/>
        <v>0</v>
      </c>
      <c r="E752" s="10">
        <f t="shared" si="47"/>
        <v>0</v>
      </c>
      <c r="W752" t="str">
        <f>IFERROR(MID(Проливка[[#This Row],[Штрихкод ]],1,FIND("-",Проливка[[#This Row],[Штрихкод ]],1)-1)," ")</f>
        <v xml:space="preserve"> </v>
      </c>
      <c r="X752" t="str">
        <f>IFERROR(RIGHT(Проливка[[#This Row],[Штрихкод ]],LEN(Проливка[[#This Row],[Штрихкод ]])-SEARCH("-",Проливка[[#This Row],[Штрихкод ]],1))," ")</f>
        <v xml:space="preserve"> </v>
      </c>
      <c r="Y752">
        <f>IFERROR(VLOOKUP(Проливка[[#This Row],[ID]]*1,'Срок хранения'!A752:B850,2,0),0)</f>
        <v>0</v>
      </c>
      <c r="Z752">
        <f>IFERROR(VLOOKUP(Проливка[[#This Row],[ID]]*1,'Срок хранения'!A752:C850,3,0),0)</f>
        <v>0</v>
      </c>
    </row>
    <row r="753" spans="1:26" x14ac:dyDescent="0.25">
      <c r="A753" s="9"/>
      <c r="B753" s="12" t="str">
        <f t="shared" si="45"/>
        <v xml:space="preserve"> </v>
      </c>
      <c r="C753" s="10" t="str">
        <f t="shared" si="44"/>
        <v xml:space="preserve"> </v>
      </c>
      <c r="D753" s="10">
        <f t="shared" si="46"/>
        <v>0</v>
      </c>
      <c r="E753" s="10">
        <f t="shared" si="47"/>
        <v>0</v>
      </c>
      <c r="W753" t="str">
        <f>IFERROR(MID(Проливка[[#This Row],[Штрихкод ]],1,FIND("-",Проливка[[#This Row],[Штрихкод ]],1)-1)," ")</f>
        <v xml:space="preserve"> </v>
      </c>
      <c r="X753" t="str">
        <f>IFERROR(RIGHT(Проливка[[#This Row],[Штрихкод ]],LEN(Проливка[[#This Row],[Штрихкод ]])-SEARCH("-",Проливка[[#This Row],[Штрихкод ]],1))," ")</f>
        <v xml:space="preserve"> </v>
      </c>
      <c r="Y753">
        <f>IFERROR(VLOOKUP(Проливка[[#This Row],[ID]]*1,'Срок хранения'!A753:B851,2,0),0)</f>
        <v>0</v>
      </c>
      <c r="Z753">
        <f>IFERROR(VLOOKUP(Проливка[[#This Row],[ID]]*1,'Срок хранения'!A753:C851,3,0),0)</f>
        <v>0</v>
      </c>
    </row>
    <row r="754" spans="1:26" x14ac:dyDescent="0.25">
      <c r="A754" s="9"/>
      <c r="B754" s="12" t="str">
        <f t="shared" si="45"/>
        <v xml:space="preserve"> </v>
      </c>
      <c r="C754" s="10" t="str">
        <f t="shared" si="44"/>
        <v xml:space="preserve"> </v>
      </c>
      <c r="D754" s="10">
        <f t="shared" si="46"/>
        <v>0</v>
      </c>
      <c r="E754" s="10">
        <f t="shared" si="47"/>
        <v>0</v>
      </c>
      <c r="W754" t="str">
        <f>IFERROR(MID(Проливка[[#This Row],[Штрихкод ]],1,FIND("-",Проливка[[#This Row],[Штрихкод ]],1)-1)," ")</f>
        <v xml:space="preserve"> </v>
      </c>
      <c r="X754" t="str">
        <f>IFERROR(RIGHT(Проливка[[#This Row],[Штрихкод ]],LEN(Проливка[[#This Row],[Штрихкод ]])-SEARCH("-",Проливка[[#This Row],[Штрихкод ]],1))," ")</f>
        <v xml:space="preserve"> </v>
      </c>
      <c r="Y754">
        <f>IFERROR(VLOOKUP(Проливка[[#This Row],[ID]]*1,'Срок хранения'!A754:B852,2,0),0)</f>
        <v>0</v>
      </c>
      <c r="Z754">
        <f>IFERROR(VLOOKUP(Проливка[[#This Row],[ID]]*1,'Срок хранения'!A754:C852,3,0),0)</f>
        <v>0</v>
      </c>
    </row>
    <row r="755" spans="1:26" x14ac:dyDescent="0.25">
      <c r="A755" s="9"/>
      <c r="B755" s="12" t="str">
        <f t="shared" si="45"/>
        <v xml:space="preserve"> </v>
      </c>
      <c r="C755" s="10" t="str">
        <f t="shared" si="44"/>
        <v xml:space="preserve"> </v>
      </c>
      <c r="D755" s="10">
        <f t="shared" si="46"/>
        <v>0</v>
      </c>
      <c r="E755" s="10">
        <f t="shared" si="47"/>
        <v>0</v>
      </c>
      <c r="W755" t="str">
        <f>IFERROR(MID(Проливка[[#This Row],[Штрихкод ]],1,FIND("-",Проливка[[#This Row],[Штрихкод ]],1)-1)," ")</f>
        <v xml:space="preserve"> </v>
      </c>
      <c r="X755" t="str">
        <f>IFERROR(RIGHT(Проливка[[#This Row],[Штрихкод ]],LEN(Проливка[[#This Row],[Штрихкод ]])-SEARCH("-",Проливка[[#This Row],[Штрихкод ]],1))," ")</f>
        <v xml:space="preserve"> </v>
      </c>
      <c r="Y755">
        <f>IFERROR(VLOOKUP(Проливка[[#This Row],[ID]]*1,'Срок хранения'!A755:B853,2,0),0)</f>
        <v>0</v>
      </c>
      <c r="Z755">
        <f>IFERROR(VLOOKUP(Проливка[[#This Row],[ID]]*1,'Срок хранения'!A755:C853,3,0),0)</f>
        <v>0</v>
      </c>
    </row>
    <row r="756" spans="1:26" x14ac:dyDescent="0.25">
      <c r="A756" s="9"/>
      <c r="B756" s="12" t="str">
        <f t="shared" si="45"/>
        <v xml:space="preserve"> </v>
      </c>
      <c r="C756" s="10" t="str">
        <f t="shared" si="44"/>
        <v xml:space="preserve"> </v>
      </c>
      <c r="D756" s="10">
        <f t="shared" si="46"/>
        <v>0</v>
      </c>
      <c r="E756" s="10">
        <f t="shared" si="47"/>
        <v>0</v>
      </c>
      <c r="W756" t="str">
        <f>IFERROR(MID(Проливка[[#This Row],[Штрихкод ]],1,FIND("-",Проливка[[#This Row],[Штрихкод ]],1)-1)," ")</f>
        <v xml:space="preserve"> </v>
      </c>
      <c r="X756" t="str">
        <f>IFERROR(RIGHT(Проливка[[#This Row],[Штрихкод ]],LEN(Проливка[[#This Row],[Штрихкод ]])-SEARCH("-",Проливка[[#This Row],[Штрихкод ]],1))," ")</f>
        <v xml:space="preserve"> </v>
      </c>
      <c r="Y756">
        <f>IFERROR(VLOOKUP(Проливка[[#This Row],[ID]]*1,'Срок хранения'!A756:B854,2,0),0)</f>
        <v>0</v>
      </c>
      <c r="Z756">
        <f>IFERROR(VLOOKUP(Проливка[[#This Row],[ID]]*1,'Срок хранения'!A756:C854,3,0),0)</f>
        <v>0</v>
      </c>
    </row>
    <row r="757" spans="1:26" x14ac:dyDescent="0.25">
      <c r="A757" s="9"/>
      <c r="B757" s="12" t="str">
        <f t="shared" si="45"/>
        <v xml:space="preserve"> </v>
      </c>
      <c r="C757" s="10" t="str">
        <f t="shared" si="44"/>
        <v xml:space="preserve"> </v>
      </c>
      <c r="D757" s="10">
        <f t="shared" si="46"/>
        <v>0</v>
      </c>
      <c r="E757" s="10">
        <f t="shared" si="47"/>
        <v>0</v>
      </c>
      <c r="W757" t="str">
        <f>IFERROR(MID(Проливка[[#This Row],[Штрихкод ]],1,FIND("-",Проливка[[#This Row],[Штрихкод ]],1)-1)," ")</f>
        <v xml:space="preserve"> </v>
      </c>
      <c r="X757" t="str">
        <f>IFERROR(RIGHT(Проливка[[#This Row],[Штрихкод ]],LEN(Проливка[[#This Row],[Штрихкод ]])-SEARCH("-",Проливка[[#This Row],[Штрихкод ]],1))," ")</f>
        <v xml:space="preserve"> </v>
      </c>
      <c r="Y757">
        <f>IFERROR(VLOOKUP(Проливка[[#This Row],[ID]]*1,'Срок хранения'!A757:B855,2,0),0)</f>
        <v>0</v>
      </c>
      <c r="Z757">
        <f>IFERROR(VLOOKUP(Проливка[[#This Row],[ID]]*1,'Срок хранения'!A757:C855,3,0),0)</f>
        <v>0</v>
      </c>
    </row>
    <row r="758" spans="1:26" x14ac:dyDescent="0.25">
      <c r="A758" s="9"/>
      <c r="B758" s="12" t="str">
        <f t="shared" si="45"/>
        <v xml:space="preserve"> </v>
      </c>
      <c r="C758" s="10" t="str">
        <f t="shared" si="44"/>
        <v xml:space="preserve"> </v>
      </c>
      <c r="D758" s="10">
        <f t="shared" si="46"/>
        <v>0</v>
      </c>
      <c r="E758" s="10">
        <f t="shared" si="47"/>
        <v>0</v>
      </c>
      <c r="W758" t="str">
        <f>IFERROR(MID(Проливка[[#This Row],[Штрихкод ]],1,FIND("-",Проливка[[#This Row],[Штрихкод ]],1)-1)," ")</f>
        <v xml:space="preserve"> </v>
      </c>
      <c r="X758" t="str">
        <f>IFERROR(RIGHT(Проливка[[#This Row],[Штрихкод ]],LEN(Проливка[[#This Row],[Штрихкод ]])-SEARCH("-",Проливка[[#This Row],[Штрихкод ]],1))," ")</f>
        <v xml:space="preserve"> </v>
      </c>
      <c r="Y758">
        <f>IFERROR(VLOOKUP(Проливка[[#This Row],[ID]]*1,'Срок хранения'!A758:B856,2,0),0)</f>
        <v>0</v>
      </c>
      <c r="Z758">
        <f>IFERROR(VLOOKUP(Проливка[[#This Row],[ID]]*1,'Срок хранения'!A758:C856,3,0),0)</f>
        <v>0</v>
      </c>
    </row>
    <row r="759" spans="1:26" x14ac:dyDescent="0.25">
      <c r="A759" s="9"/>
      <c r="B759" s="12" t="str">
        <f t="shared" si="45"/>
        <v xml:space="preserve"> </v>
      </c>
      <c r="C759" s="10" t="str">
        <f t="shared" si="44"/>
        <v xml:space="preserve"> </v>
      </c>
      <c r="D759" s="10">
        <f t="shared" si="46"/>
        <v>0</v>
      </c>
      <c r="E759" s="10">
        <f t="shared" si="47"/>
        <v>0</v>
      </c>
      <c r="W759" t="str">
        <f>IFERROR(MID(Проливка[[#This Row],[Штрихкод ]],1,FIND("-",Проливка[[#This Row],[Штрихкод ]],1)-1)," ")</f>
        <v xml:space="preserve"> </v>
      </c>
      <c r="X759" t="str">
        <f>IFERROR(RIGHT(Проливка[[#This Row],[Штрихкод ]],LEN(Проливка[[#This Row],[Штрихкод ]])-SEARCH("-",Проливка[[#This Row],[Штрихкод ]],1))," ")</f>
        <v xml:space="preserve"> </v>
      </c>
      <c r="Y759">
        <f>IFERROR(VLOOKUP(Проливка[[#This Row],[ID]]*1,'Срок хранения'!A759:B857,2,0),0)</f>
        <v>0</v>
      </c>
      <c r="Z759">
        <f>IFERROR(VLOOKUP(Проливка[[#This Row],[ID]]*1,'Срок хранения'!A759:C857,3,0),0)</f>
        <v>0</v>
      </c>
    </row>
    <row r="760" spans="1:26" x14ac:dyDescent="0.25">
      <c r="A760" s="9"/>
      <c r="B760" s="12" t="str">
        <f t="shared" si="45"/>
        <v xml:space="preserve"> </v>
      </c>
      <c r="C760" s="10" t="str">
        <f t="shared" si="44"/>
        <v xml:space="preserve"> </v>
      </c>
      <c r="D760" s="10">
        <f t="shared" si="46"/>
        <v>0</v>
      </c>
      <c r="E760" s="10">
        <f t="shared" si="47"/>
        <v>0</v>
      </c>
      <c r="W760" t="str">
        <f>IFERROR(MID(Проливка[[#This Row],[Штрихкод ]],1,FIND("-",Проливка[[#This Row],[Штрихкод ]],1)-1)," ")</f>
        <v xml:space="preserve"> </v>
      </c>
      <c r="X760" t="str">
        <f>IFERROR(RIGHT(Проливка[[#This Row],[Штрихкод ]],LEN(Проливка[[#This Row],[Штрихкод ]])-SEARCH("-",Проливка[[#This Row],[Штрихкод ]],1))," ")</f>
        <v xml:space="preserve"> </v>
      </c>
      <c r="Y760">
        <f>IFERROR(VLOOKUP(Проливка[[#This Row],[ID]]*1,'Срок хранения'!A760:B858,2,0),0)</f>
        <v>0</v>
      </c>
      <c r="Z760">
        <f>IFERROR(VLOOKUP(Проливка[[#This Row],[ID]]*1,'Срок хранения'!A760:C858,3,0),0)</f>
        <v>0</v>
      </c>
    </row>
    <row r="761" spans="1:26" x14ac:dyDescent="0.25">
      <c r="A761" s="9"/>
      <c r="B761" s="12" t="str">
        <f t="shared" si="45"/>
        <v xml:space="preserve"> </v>
      </c>
      <c r="C761" s="10" t="str">
        <f t="shared" si="44"/>
        <v xml:space="preserve"> </v>
      </c>
      <c r="D761" s="10">
        <f t="shared" si="46"/>
        <v>0</v>
      </c>
      <c r="E761" s="10">
        <f t="shared" si="47"/>
        <v>0</v>
      </c>
      <c r="W761" t="str">
        <f>IFERROR(MID(Проливка[[#This Row],[Штрихкод ]],1,FIND("-",Проливка[[#This Row],[Штрихкод ]],1)-1)," ")</f>
        <v xml:space="preserve"> </v>
      </c>
      <c r="X761" t="str">
        <f>IFERROR(RIGHT(Проливка[[#This Row],[Штрихкод ]],LEN(Проливка[[#This Row],[Штрихкод ]])-SEARCH("-",Проливка[[#This Row],[Штрихкод ]],1))," ")</f>
        <v xml:space="preserve"> </v>
      </c>
      <c r="Y761">
        <f>IFERROR(VLOOKUP(Проливка[[#This Row],[ID]]*1,'Срок хранения'!A761:B859,2,0),0)</f>
        <v>0</v>
      </c>
      <c r="Z761">
        <f>IFERROR(VLOOKUP(Проливка[[#This Row],[ID]]*1,'Срок хранения'!A761:C859,3,0),0)</f>
        <v>0</v>
      </c>
    </row>
    <row r="762" spans="1:26" x14ac:dyDescent="0.25">
      <c r="A762" s="9"/>
      <c r="B762" s="12" t="str">
        <f t="shared" si="45"/>
        <v xml:space="preserve"> </v>
      </c>
      <c r="C762" s="10" t="str">
        <f t="shared" si="44"/>
        <v xml:space="preserve"> </v>
      </c>
      <c r="D762" s="10">
        <f t="shared" si="46"/>
        <v>0</v>
      </c>
      <c r="E762" s="10">
        <f t="shared" si="47"/>
        <v>0</v>
      </c>
      <c r="W762" t="str">
        <f>IFERROR(MID(Проливка[[#This Row],[Штрихкод ]],1,FIND("-",Проливка[[#This Row],[Штрихкод ]],1)-1)," ")</f>
        <v xml:space="preserve"> </v>
      </c>
      <c r="X762" t="str">
        <f>IFERROR(RIGHT(Проливка[[#This Row],[Штрихкод ]],LEN(Проливка[[#This Row],[Штрихкод ]])-SEARCH("-",Проливка[[#This Row],[Штрихкод ]],1))," ")</f>
        <v xml:space="preserve"> </v>
      </c>
      <c r="Y762">
        <f>IFERROR(VLOOKUP(Проливка[[#This Row],[ID]]*1,'Срок хранения'!A762:B860,2,0),0)</f>
        <v>0</v>
      </c>
      <c r="Z762">
        <f>IFERROR(VLOOKUP(Проливка[[#This Row],[ID]]*1,'Срок хранения'!A762:C860,3,0),0)</f>
        <v>0</v>
      </c>
    </row>
    <row r="763" spans="1:26" x14ac:dyDescent="0.25">
      <c r="A763" s="9"/>
      <c r="B763" s="12" t="str">
        <f t="shared" si="45"/>
        <v xml:space="preserve"> </v>
      </c>
      <c r="C763" s="10" t="str">
        <f t="shared" si="44"/>
        <v xml:space="preserve"> </v>
      </c>
      <c r="D763" s="10">
        <f t="shared" si="46"/>
        <v>0</v>
      </c>
      <c r="E763" s="10">
        <f t="shared" si="47"/>
        <v>0</v>
      </c>
      <c r="W763" t="str">
        <f>IFERROR(MID(Проливка[[#This Row],[Штрихкод ]],1,FIND("-",Проливка[[#This Row],[Штрихкод ]],1)-1)," ")</f>
        <v xml:space="preserve"> </v>
      </c>
      <c r="X763" t="str">
        <f>IFERROR(RIGHT(Проливка[[#This Row],[Штрихкод ]],LEN(Проливка[[#This Row],[Штрихкод ]])-SEARCH("-",Проливка[[#This Row],[Штрихкод ]],1))," ")</f>
        <v xml:space="preserve"> </v>
      </c>
      <c r="Y763">
        <f>IFERROR(VLOOKUP(Проливка[[#This Row],[ID]]*1,'Срок хранения'!A763:B861,2,0),0)</f>
        <v>0</v>
      </c>
      <c r="Z763">
        <f>IFERROR(VLOOKUP(Проливка[[#This Row],[ID]]*1,'Срок хранения'!A763:C861,3,0),0)</f>
        <v>0</v>
      </c>
    </row>
    <row r="764" spans="1:26" x14ac:dyDescent="0.25">
      <c r="A764" s="9"/>
      <c r="B764" s="12" t="str">
        <f t="shared" si="45"/>
        <v xml:space="preserve"> </v>
      </c>
      <c r="C764" s="10" t="str">
        <f t="shared" si="44"/>
        <v xml:space="preserve"> </v>
      </c>
      <c r="D764" s="10">
        <f t="shared" si="46"/>
        <v>0</v>
      </c>
      <c r="E764" s="10">
        <f t="shared" si="47"/>
        <v>0</v>
      </c>
      <c r="W764" t="str">
        <f>IFERROR(MID(Проливка[[#This Row],[Штрихкод ]],1,FIND("-",Проливка[[#This Row],[Штрихкод ]],1)-1)," ")</f>
        <v xml:space="preserve"> </v>
      </c>
      <c r="X764" t="str">
        <f>IFERROR(RIGHT(Проливка[[#This Row],[Штрихкод ]],LEN(Проливка[[#This Row],[Штрихкод ]])-SEARCH("-",Проливка[[#This Row],[Штрихкод ]],1))," ")</f>
        <v xml:space="preserve"> </v>
      </c>
      <c r="Y764">
        <f>IFERROR(VLOOKUP(Проливка[[#This Row],[ID]]*1,'Срок хранения'!A764:B862,2,0),0)</f>
        <v>0</v>
      </c>
      <c r="Z764">
        <f>IFERROR(VLOOKUP(Проливка[[#This Row],[ID]]*1,'Срок хранения'!A764:C862,3,0),0)</f>
        <v>0</v>
      </c>
    </row>
    <row r="765" spans="1:26" x14ac:dyDescent="0.25">
      <c r="A765" s="9"/>
      <c r="B765" s="12" t="str">
        <f t="shared" si="45"/>
        <v xml:space="preserve"> </v>
      </c>
      <c r="C765" s="10" t="str">
        <f t="shared" si="44"/>
        <v xml:space="preserve"> </v>
      </c>
      <c r="D765" s="10">
        <f t="shared" si="46"/>
        <v>0</v>
      </c>
      <c r="E765" s="10">
        <f t="shared" si="47"/>
        <v>0</v>
      </c>
      <c r="W765" t="str">
        <f>IFERROR(MID(Проливка[[#This Row],[Штрихкод ]],1,FIND("-",Проливка[[#This Row],[Штрихкод ]],1)-1)," ")</f>
        <v xml:space="preserve"> </v>
      </c>
      <c r="X765" t="str">
        <f>IFERROR(RIGHT(Проливка[[#This Row],[Штрихкод ]],LEN(Проливка[[#This Row],[Штрихкод ]])-SEARCH("-",Проливка[[#This Row],[Штрихкод ]],1))," ")</f>
        <v xml:space="preserve"> </v>
      </c>
      <c r="Y765">
        <f>IFERROR(VLOOKUP(Проливка[[#This Row],[ID]]*1,'Срок хранения'!A765:B863,2,0),0)</f>
        <v>0</v>
      </c>
      <c r="Z765">
        <f>IFERROR(VLOOKUP(Проливка[[#This Row],[ID]]*1,'Срок хранения'!A765:C863,3,0),0)</f>
        <v>0</v>
      </c>
    </row>
    <row r="766" spans="1:26" x14ac:dyDescent="0.25">
      <c r="A766" s="9"/>
      <c r="B766" s="12" t="str">
        <f t="shared" si="45"/>
        <v xml:space="preserve"> </v>
      </c>
      <c r="C766" s="10" t="str">
        <f t="shared" si="44"/>
        <v xml:space="preserve"> </v>
      </c>
      <c r="D766" s="10">
        <f t="shared" si="46"/>
        <v>0</v>
      </c>
      <c r="E766" s="10">
        <f t="shared" si="47"/>
        <v>0</v>
      </c>
      <c r="W766" t="str">
        <f>IFERROR(MID(Проливка[[#This Row],[Штрихкод ]],1,FIND("-",Проливка[[#This Row],[Штрихкод ]],1)-1)," ")</f>
        <v xml:space="preserve"> </v>
      </c>
      <c r="X766" t="str">
        <f>IFERROR(RIGHT(Проливка[[#This Row],[Штрихкод ]],LEN(Проливка[[#This Row],[Штрихкод ]])-SEARCH("-",Проливка[[#This Row],[Штрихкод ]],1))," ")</f>
        <v xml:space="preserve"> </v>
      </c>
      <c r="Y766">
        <f>IFERROR(VLOOKUP(Проливка[[#This Row],[ID]]*1,'Срок хранения'!A766:B864,2,0),0)</f>
        <v>0</v>
      </c>
      <c r="Z766">
        <f>IFERROR(VLOOKUP(Проливка[[#This Row],[ID]]*1,'Срок хранения'!A766:C864,3,0),0)</f>
        <v>0</v>
      </c>
    </row>
    <row r="767" spans="1:26" x14ac:dyDescent="0.25">
      <c r="A767" s="9"/>
      <c r="B767" s="12" t="str">
        <f t="shared" si="45"/>
        <v xml:space="preserve"> </v>
      </c>
      <c r="C767" s="10" t="str">
        <f t="shared" si="44"/>
        <v xml:space="preserve"> </v>
      </c>
      <c r="D767" s="10">
        <f t="shared" si="46"/>
        <v>0</v>
      </c>
      <c r="E767" s="10">
        <f t="shared" si="47"/>
        <v>0</v>
      </c>
      <c r="W767" t="str">
        <f>IFERROR(MID(Проливка[[#This Row],[Штрихкод ]],1,FIND("-",Проливка[[#This Row],[Штрихкод ]],1)-1)," ")</f>
        <v xml:space="preserve"> </v>
      </c>
      <c r="X767" t="str">
        <f>IFERROR(RIGHT(Проливка[[#This Row],[Штрихкод ]],LEN(Проливка[[#This Row],[Штрихкод ]])-SEARCH("-",Проливка[[#This Row],[Штрихкод ]],1))," ")</f>
        <v xml:space="preserve"> </v>
      </c>
      <c r="Y767">
        <f>IFERROR(VLOOKUP(Проливка[[#This Row],[ID]]*1,'Срок хранения'!A767:B865,2,0),0)</f>
        <v>0</v>
      </c>
      <c r="Z767">
        <f>IFERROR(VLOOKUP(Проливка[[#This Row],[ID]]*1,'Срок хранения'!A767:C865,3,0),0)</f>
        <v>0</v>
      </c>
    </row>
    <row r="768" spans="1:26" x14ac:dyDescent="0.25">
      <c r="A768" s="9"/>
      <c r="B768" s="12" t="str">
        <f t="shared" si="45"/>
        <v xml:space="preserve"> </v>
      </c>
      <c r="C768" s="10" t="str">
        <f t="shared" si="44"/>
        <v xml:space="preserve"> </v>
      </c>
      <c r="D768" s="10">
        <f t="shared" si="46"/>
        <v>0</v>
      </c>
      <c r="E768" s="10">
        <f t="shared" si="47"/>
        <v>0</v>
      </c>
      <c r="W768" t="str">
        <f>IFERROR(MID(Проливка[[#This Row],[Штрихкод ]],1,FIND("-",Проливка[[#This Row],[Штрихкод ]],1)-1)," ")</f>
        <v xml:space="preserve"> </v>
      </c>
      <c r="X768" t="str">
        <f>IFERROR(RIGHT(Проливка[[#This Row],[Штрихкод ]],LEN(Проливка[[#This Row],[Штрихкод ]])-SEARCH("-",Проливка[[#This Row],[Штрихкод ]],1))," ")</f>
        <v xml:space="preserve"> </v>
      </c>
      <c r="Y768">
        <f>IFERROR(VLOOKUP(Проливка[[#This Row],[ID]]*1,'Срок хранения'!A768:B866,2,0),0)</f>
        <v>0</v>
      </c>
      <c r="Z768">
        <f>IFERROR(VLOOKUP(Проливка[[#This Row],[ID]]*1,'Срок хранения'!A768:C866,3,0),0)</f>
        <v>0</v>
      </c>
    </row>
    <row r="769" spans="1:26" x14ac:dyDescent="0.25">
      <c r="A769" s="9"/>
      <c r="B769" s="12" t="str">
        <f t="shared" si="45"/>
        <v xml:space="preserve"> </v>
      </c>
      <c r="C769" s="10" t="str">
        <f t="shared" si="44"/>
        <v xml:space="preserve"> </v>
      </c>
      <c r="D769" s="10">
        <f t="shared" si="46"/>
        <v>0</v>
      </c>
      <c r="E769" s="10">
        <f t="shared" si="47"/>
        <v>0</v>
      </c>
      <c r="W769" t="str">
        <f>IFERROR(MID(Проливка[[#This Row],[Штрихкод ]],1,FIND("-",Проливка[[#This Row],[Штрихкод ]],1)-1)," ")</f>
        <v xml:space="preserve"> </v>
      </c>
      <c r="X769" t="str">
        <f>IFERROR(RIGHT(Проливка[[#This Row],[Штрихкод ]],LEN(Проливка[[#This Row],[Штрихкод ]])-SEARCH("-",Проливка[[#This Row],[Штрихкод ]],1))," ")</f>
        <v xml:space="preserve"> </v>
      </c>
      <c r="Y769">
        <f>IFERROR(VLOOKUP(Проливка[[#This Row],[ID]]*1,'Срок хранения'!A769:B867,2,0),0)</f>
        <v>0</v>
      </c>
      <c r="Z769">
        <f>IFERROR(VLOOKUP(Проливка[[#This Row],[ID]]*1,'Срок хранения'!A769:C867,3,0),0)</f>
        <v>0</v>
      </c>
    </row>
    <row r="770" spans="1:26" x14ac:dyDescent="0.25">
      <c r="A770" s="9"/>
      <c r="B770" s="12" t="str">
        <f t="shared" si="45"/>
        <v xml:space="preserve"> </v>
      </c>
      <c r="C770" s="10" t="str">
        <f t="shared" ref="C770:C833" si="48">X770</f>
        <v xml:space="preserve"> </v>
      </c>
      <c r="D770" s="10">
        <f t="shared" si="46"/>
        <v>0</v>
      </c>
      <c r="E770" s="10">
        <f t="shared" si="47"/>
        <v>0</v>
      </c>
      <c r="W770" t="str">
        <f>IFERROR(MID(Проливка[[#This Row],[Штрихкод ]],1,FIND("-",Проливка[[#This Row],[Штрихкод ]],1)-1)," ")</f>
        <v xml:space="preserve"> </v>
      </c>
      <c r="X770" t="str">
        <f>IFERROR(RIGHT(Проливка[[#This Row],[Штрихкод ]],LEN(Проливка[[#This Row],[Штрихкод ]])-SEARCH("-",Проливка[[#This Row],[Штрихкод ]],1))," ")</f>
        <v xml:space="preserve"> </v>
      </c>
      <c r="Y770">
        <f>IFERROR(VLOOKUP(Проливка[[#This Row],[ID]]*1,'Срок хранения'!A770:B868,2,0),0)</f>
        <v>0</v>
      </c>
      <c r="Z770">
        <f>IFERROR(VLOOKUP(Проливка[[#This Row],[ID]]*1,'Срок хранения'!A770:C868,3,0),0)</f>
        <v>0</v>
      </c>
    </row>
    <row r="771" spans="1:26" x14ac:dyDescent="0.25">
      <c r="A771" s="9"/>
      <c r="B771" s="12" t="str">
        <f t="shared" ref="B771:B834" si="49">W771</f>
        <v xml:space="preserve"> </v>
      </c>
      <c r="C771" s="10" t="str">
        <f t="shared" si="48"/>
        <v xml:space="preserve"> </v>
      </c>
      <c r="D771" s="10">
        <f t="shared" ref="D771:D834" si="50">Y771</f>
        <v>0</v>
      </c>
      <c r="E771" s="10">
        <f t="shared" ref="E771:E834" si="51">Z771</f>
        <v>0</v>
      </c>
      <c r="W771" t="str">
        <f>IFERROR(MID(Проливка[[#This Row],[Штрихкод ]],1,FIND("-",Проливка[[#This Row],[Штрихкод ]],1)-1)," ")</f>
        <v xml:space="preserve"> </v>
      </c>
      <c r="X771" t="str">
        <f>IFERROR(RIGHT(Проливка[[#This Row],[Штрихкод ]],LEN(Проливка[[#This Row],[Штрихкод ]])-SEARCH("-",Проливка[[#This Row],[Штрихкод ]],1))," ")</f>
        <v xml:space="preserve"> </v>
      </c>
      <c r="Y771">
        <f>IFERROR(VLOOKUP(Проливка[[#This Row],[ID]]*1,'Срок хранения'!A771:B869,2,0),0)</f>
        <v>0</v>
      </c>
      <c r="Z771">
        <f>IFERROR(VLOOKUP(Проливка[[#This Row],[ID]]*1,'Срок хранения'!A771:C869,3,0),0)</f>
        <v>0</v>
      </c>
    </row>
    <row r="772" spans="1:26" x14ac:dyDescent="0.25">
      <c r="A772" s="9"/>
      <c r="B772" s="12" t="str">
        <f t="shared" si="49"/>
        <v xml:space="preserve"> </v>
      </c>
      <c r="C772" s="10" t="str">
        <f t="shared" si="48"/>
        <v xml:space="preserve"> </v>
      </c>
      <c r="D772" s="10">
        <f t="shared" si="50"/>
        <v>0</v>
      </c>
      <c r="E772" s="10">
        <f t="shared" si="51"/>
        <v>0</v>
      </c>
      <c r="W772" t="str">
        <f>IFERROR(MID(Проливка[[#This Row],[Штрихкод ]],1,FIND("-",Проливка[[#This Row],[Штрихкод ]],1)-1)," ")</f>
        <v xml:space="preserve"> </v>
      </c>
      <c r="X772" t="str">
        <f>IFERROR(RIGHT(Проливка[[#This Row],[Штрихкод ]],LEN(Проливка[[#This Row],[Штрихкод ]])-SEARCH("-",Проливка[[#This Row],[Штрихкод ]],1))," ")</f>
        <v xml:space="preserve"> </v>
      </c>
      <c r="Y772">
        <f>IFERROR(VLOOKUP(Проливка[[#This Row],[ID]]*1,'Срок хранения'!A772:B870,2,0),0)</f>
        <v>0</v>
      </c>
      <c r="Z772">
        <f>IFERROR(VLOOKUP(Проливка[[#This Row],[ID]]*1,'Срок хранения'!A772:C870,3,0),0)</f>
        <v>0</v>
      </c>
    </row>
    <row r="773" spans="1:26" x14ac:dyDescent="0.25">
      <c r="A773" s="9"/>
      <c r="B773" s="12" t="str">
        <f t="shared" si="49"/>
        <v xml:space="preserve"> </v>
      </c>
      <c r="C773" s="10" t="str">
        <f t="shared" si="48"/>
        <v xml:space="preserve"> </v>
      </c>
      <c r="D773" s="10">
        <f t="shared" si="50"/>
        <v>0</v>
      </c>
      <c r="E773" s="10">
        <f t="shared" si="51"/>
        <v>0</v>
      </c>
      <c r="W773" t="str">
        <f>IFERROR(MID(Проливка[[#This Row],[Штрихкод ]],1,FIND("-",Проливка[[#This Row],[Штрихкод ]],1)-1)," ")</f>
        <v xml:space="preserve"> </v>
      </c>
      <c r="X773" t="str">
        <f>IFERROR(RIGHT(Проливка[[#This Row],[Штрихкод ]],LEN(Проливка[[#This Row],[Штрихкод ]])-SEARCH("-",Проливка[[#This Row],[Штрихкод ]],1))," ")</f>
        <v xml:space="preserve"> </v>
      </c>
      <c r="Y773">
        <f>IFERROR(VLOOKUP(Проливка[[#This Row],[ID]]*1,'Срок хранения'!A773:B871,2,0),0)</f>
        <v>0</v>
      </c>
      <c r="Z773">
        <f>IFERROR(VLOOKUP(Проливка[[#This Row],[ID]]*1,'Срок хранения'!A773:C871,3,0),0)</f>
        <v>0</v>
      </c>
    </row>
    <row r="774" spans="1:26" x14ac:dyDescent="0.25">
      <c r="A774" s="9"/>
      <c r="B774" s="12" t="str">
        <f t="shared" si="49"/>
        <v xml:space="preserve"> </v>
      </c>
      <c r="C774" s="10" t="str">
        <f t="shared" si="48"/>
        <v xml:space="preserve"> </v>
      </c>
      <c r="D774" s="10">
        <f t="shared" si="50"/>
        <v>0</v>
      </c>
      <c r="E774" s="10">
        <f t="shared" si="51"/>
        <v>0</v>
      </c>
      <c r="W774" t="str">
        <f>IFERROR(MID(Проливка[[#This Row],[Штрихкод ]],1,FIND("-",Проливка[[#This Row],[Штрихкод ]],1)-1)," ")</f>
        <v xml:space="preserve"> </v>
      </c>
      <c r="X774" t="str">
        <f>IFERROR(RIGHT(Проливка[[#This Row],[Штрихкод ]],LEN(Проливка[[#This Row],[Штрихкод ]])-SEARCH("-",Проливка[[#This Row],[Штрихкод ]],1))," ")</f>
        <v xml:space="preserve"> </v>
      </c>
      <c r="Y774">
        <f>IFERROR(VLOOKUP(Проливка[[#This Row],[ID]]*1,'Срок хранения'!A774:B872,2,0),0)</f>
        <v>0</v>
      </c>
      <c r="Z774">
        <f>IFERROR(VLOOKUP(Проливка[[#This Row],[ID]]*1,'Срок хранения'!A774:C872,3,0),0)</f>
        <v>0</v>
      </c>
    </row>
    <row r="775" spans="1:26" x14ac:dyDescent="0.25">
      <c r="A775" s="9"/>
      <c r="B775" s="12" t="str">
        <f t="shared" si="49"/>
        <v xml:space="preserve"> </v>
      </c>
      <c r="C775" s="10" t="str">
        <f t="shared" si="48"/>
        <v xml:space="preserve"> </v>
      </c>
      <c r="D775" s="10">
        <f t="shared" si="50"/>
        <v>0</v>
      </c>
      <c r="E775" s="10">
        <f t="shared" si="51"/>
        <v>0</v>
      </c>
      <c r="W775" t="str">
        <f>IFERROR(MID(Проливка[[#This Row],[Штрихкод ]],1,FIND("-",Проливка[[#This Row],[Штрихкод ]],1)-1)," ")</f>
        <v xml:space="preserve"> </v>
      </c>
      <c r="X775" t="str">
        <f>IFERROR(RIGHT(Проливка[[#This Row],[Штрихкод ]],LEN(Проливка[[#This Row],[Штрихкод ]])-SEARCH("-",Проливка[[#This Row],[Штрихкод ]],1))," ")</f>
        <v xml:space="preserve"> </v>
      </c>
      <c r="Y775">
        <f>IFERROR(VLOOKUP(Проливка[[#This Row],[ID]]*1,'Срок хранения'!A775:B873,2,0),0)</f>
        <v>0</v>
      </c>
      <c r="Z775">
        <f>IFERROR(VLOOKUP(Проливка[[#This Row],[ID]]*1,'Срок хранения'!A775:C873,3,0),0)</f>
        <v>0</v>
      </c>
    </row>
    <row r="776" spans="1:26" x14ac:dyDescent="0.25">
      <c r="A776" s="9"/>
      <c r="B776" s="12" t="str">
        <f t="shared" si="49"/>
        <v xml:space="preserve"> </v>
      </c>
      <c r="C776" s="10" t="str">
        <f t="shared" si="48"/>
        <v xml:space="preserve"> </v>
      </c>
      <c r="D776" s="10">
        <f t="shared" si="50"/>
        <v>0</v>
      </c>
      <c r="E776" s="10">
        <f t="shared" si="51"/>
        <v>0</v>
      </c>
      <c r="W776" t="str">
        <f>IFERROR(MID(Проливка[[#This Row],[Штрихкод ]],1,FIND("-",Проливка[[#This Row],[Штрихкод ]],1)-1)," ")</f>
        <v xml:space="preserve"> </v>
      </c>
      <c r="X776" t="str">
        <f>IFERROR(RIGHT(Проливка[[#This Row],[Штрихкод ]],LEN(Проливка[[#This Row],[Штрихкод ]])-SEARCH("-",Проливка[[#This Row],[Штрихкод ]],1))," ")</f>
        <v xml:space="preserve"> </v>
      </c>
      <c r="Y776">
        <f>IFERROR(VLOOKUP(Проливка[[#This Row],[ID]]*1,'Срок хранения'!A776:B874,2,0),0)</f>
        <v>0</v>
      </c>
      <c r="Z776">
        <f>IFERROR(VLOOKUP(Проливка[[#This Row],[ID]]*1,'Срок хранения'!A776:C874,3,0),0)</f>
        <v>0</v>
      </c>
    </row>
    <row r="777" spans="1:26" x14ac:dyDescent="0.25">
      <c r="A777" s="9"/>
      <c r="B777" s="12" t="str">
        <f t="shared" si="49"/>
        <v xml:space="preserve"> </v>
      </c>
      <c r="C777" s="10" t="str">
        <f t="shared" si="48"/>
        <v xml:space="preserve"> </v>
      </c>
      <c r="D777" s="10">
        <f t="shared" si="50"/>
        <v>0</v>
      </c>
      <c r="E777" s="10">
        <f t="shared" si="51"/>
        <v>0</v>
      </c>
      <c r="W777" t="str">
        <f>IFERROR(MID(Проливка[[#This Row],[Штрихкод ]],1,FIND("-",Проливка[[#This Row],[Штрихкод ]],1)-1)," ")</f>
        <v xml:space="preserve"> </v>
      </c>
      <c r="X777" t="str">
        <f>IFERROR(RIGHT(Проливка[[#This Row],[Штрихкод ]],LEN(Проливка[[#This Row],[Штрихкод ]])-SEARCH("-",Проливка[[#This Row],[Штрихкод ]],1))," ")</f>
        <v xml:space="preserve"> </v>
      </c>
      <c r="Y777">
        <f>IFERROR(VLOOKUP(Проливка[[#This Row],[ID]]*1,'Срок хранения'!A777:B875,2,0),0)</f>
        <v>0</v>
      </c>
      <c r="Z777">
        <f>IFERROR(VLOOKUP(Проливка[[#This Row],[ID]]*1,'Срок хранения'!A777:C875,3,0),0)</f>
        <v>0</v>
      </c>
    </row>
    <row r="778" spans="1:26" x14ac:dyDescent="0.25">
      <c r="A778" s="9"/>
      <c r="B778" s="12" t="str">
        <f t="shared" si="49"/>
        <v xml:space="preserve"> </v>
      </c>
      <c r="C778" s="10" t="str">
        <f t="shared" si="48"/>
        <v xml:space="preserve"> </v>
      </c>
      <c r="D778" s="10">
        <f t="shared" si="50"/>
        <v>0</v>
      </c>
      <c r="E778" s="10">
        <f t="shared" si="51"/>
        <v>0</v>
      </c>
      <c r="W778" t="str">
        <f>IFERROR(MID(Проливка[[#This Row],[Штрихкод ]],1,FIND("-",Проливка[[#This Row],[Штрихкод ]],1)-1)," ")</f>
        <v xml:space="preserve"> </v>
      </c>
      <c r="X778" t="str">
        <f>IFERROR(RIGHT(Проливка[[#This Row],[Штрихкод ]],LEN(Проливка[[#This Row],[Штрихкод ]])-SEARCH("-",Проливка[[#This Row],[Штрихкод ]],1))," ")</f>
        <v xml:space="preserve"> </v>
      </c>
      <c r="Y778">
        <f>IFERROR(VLOOKUP(Проливка[[#This Row],[ID]]*1,'Срок хранения'!A778:B876,2,0),0)</f>
        <v>0</v>
      </c>
      <c r="Z778">
        <f>IFERROR(VLOOKUP(Проливка[[#This Row],[ID]]*1,'Срок хранения'!A778:C876,3,0),0)</f>
        <v>0</v>
      </c>
    </row>
    <row r="779" spans="1:26" x14ac:dyDescent="0.25">
      <c r="A779" s="9"/>
      <c r="B779" s="12" t="str">
        <f t="shared" si="49"/>
        <v xml:space="preserve"> </v>
      </c>
      <c r="C779" s="10" t="str">
        <f t="shared" si="48"/>
        <v xml:space="preserve"> </v>
      </c>
      <c r="D779" s="10">
        <f t="shared" si="50"/>
        <v>0</v>
      </c>
      <c r="E779" s="10">
        <f t="shared" si="51"/>
        <v>0</v>
      </c>
      <c r="W779" t="str">
        <f>IFERROR(MID(Проливка[[#This Row],[Штрихкод ]],1,FIND("-",Проливка[[#This Row],[Штрихкод ]],1)-1)," ")</f>
        <v xml:space="preserve"> </v>
      </c>
      <c r="X779" t="str">
        <f>IFERROR(RIGHT(Проливка[[#This Row],[Штрихкод ]],LEN(Проливка[[#This Row],[Штрихкод ]])-SEARCH("-",Проливка[[#This Row],[Штрихкод ]],1))," ")</f>
        <v xml:space="preserve"> </v>
      </c>
      <c r="Y779">
        <f>IFERROR(VLOOKUP(Проливка[[#This Row],[ID]]*1,'Срок хранения'!A779:B877,2,0),0)</f>
        <v>0</v>
      </c>
      <c r="Z779">
        <f>IFERROR(VLOOKUP(Проливка[[#This Row],[ID]]*1,'Срок хранения'!A779:C877,3,0),0)</f>
        <v>0</v>
      </c>
    </row>
    <row r="780" spans="1:26" x14ac:dyDescent="0.25">
      <c r="A780" s="9"/>
      <c r="B780" s="12" t="str">
        <f t="shared" si="49"/>
        <v xml:space="preserve"> </v>
      </c>
      <c r="C780" s="10" t="str">
        <f t="shared" si="48"/>
        <v xml:space="preserve"> </v>
      </c>
      <c r="D780" s="10">
        <f t="shared" si="50"/>
        <v>0</v>
      </c>
      <c r="E780" s="10">
        <f t="shared" si="51"/>
        <v>0</v>
      </c>
      <c r="W780" t="str">
        <f>IFERROR(MID(Проливка[[#This Row],[Штрихкод ]],1,FIND("-",Проливка[[#This Row],[Штрихкод ]],1)-1)," ")</f>
        <v xml:space="preserve"> </v>
      </c>
      <c r="X780" t="str">
        <f>IFERROR(RIGHT(Проливка[[#This Row],[Штрихкод ]],LEN(Проливка[[#This Row],[Штрихкод ]])-SEARCH("-",Проливка[[#This Row],[Штрихкод ]],1))," ")</f>
        <v xml:space="preserve"> </v>
      </c>
      <c r="Y780">
        <f>IFERROR(VLOOKUP(Проливка[[#This Row],[ID]]*1,'Срок хранения'!A780:B878,2,0),0)</f>
        <v>0</v>
      </c>
      <c r="Z780">
        <f>IFERROR(VLOOKUP(Проливка[[#This Row],[ID]]*1,'Срок хранения'!A780:C878,3,0),0)</f>
        <v>0</v>
      </c>
    </row>
    <row r="781" spans="1:26" x14ac:dyDescent="0.25">
      <c r="A781" s="9"/>
      <c r="B781" s="12" t="str">
        <f t="shared" si="49"/>
        <v xml:space="preserve"> </v>
      </c>
      <c r="C781" s="10" t="str">
        <f t="shared" si="48"/>
        <v xml:space="preserve"> </v>
      </c>
      <c r="D781" s="10">
        <f t="shared" si="50"/>
        <v>0</v>
      </c>
      <c r="E781" s="10">
        <f t="shared" si="51"/>
        <v>0</v>
      </c>
      <c r="W781" t="str">
        <f>IFERROR(MID(Проливка[[#This Row],[Штрихкод ]],1,FIND("-",Проливка[[#This Row],[Штрихкод ]],1)-1)," ")</f>
        <v xml:space="preserve"> </v>
      </c>
      <c r="X781" t="str">
        <f>IFERROR(RIGHT(Проливка[[#This Row],[Штрихкод ]],LEN(Проливка[[#This Row],[Штрихкод ]])-SEARCH("-",Проливка[[#This Row],[Штрихкод ]],1))," ")</f>
        <v xml:space="preserve"> </v>
      </c>
      <c r="Y781">
        <f>IFERROR(VLOOKUP(Проливка[[#This Row],[ID]]*1,'Срок хранения'!A781:B879,2,0),0)</f>
        <v>0</v>
      </c>
      <c r="Z781">
        <f>IFERROR(VLOOKUP(Проливка[[#This Row],[ID]]*1,'Срок хранения'!A781:C879,3,0),0)</f>
        <v>0</v>
      </c>
    </row>
    <row r="782" spans="1:26" x14ac:dyDescent="0.25">
      <c r="A782" s="9"/>
      <c r="B782" s="12" t="str">
        <f t="shared" si="49"/>
        <v xml:space="preserve"> </v>
      </c>
      <c r="C782" s="10" t="str">
        <f t="shared" si="48"/>
        <v xml:space="preserve"> </v>
      </c>
      <c r="D782" s="10">
        <f t="shared" si="50"/>
        <v>0</v>
      </c>
      <c r="E782" s="10">
        <f t="shared" si="51"/>
        <v>0</v>
      </c>
      <c r="W782" t="str">
        <f>IFERROR(MID(Проливка[[#This Row],[Штрихкод ]],1,FIND("-",Проливка[[#This Row],[Штрихкод ]],1)-1)," ")</f>
        <v xml:space="preserve"> </v>
      </c>
      <c r="X782" t="str">
        <f>IFERROR(RIGHT(Проливка[[#This Row],[Штрихкод ]],LEN(Проливка[[#This Row],[Штрихкод ]])-SEARCH("-",Проливка[[#This Row],[Штрихкод ]],1))," ")</f>
        <v xml:space="preserve"> </v>
      </c>
      <c r="Y782">
        <f>IFERROR(VLOOKUP(Проливка[[#This Row],[ID]]*1,'Срок хранения'!A782:B880,2,0),0)</f>
        <v>0</v>
      </c>
      <c r="Z782">
        <f>IFERROR(VLOOKUP(Проливка[[#This Row],[ID]]*1,'Срок хранения'!A782:C880,3,0),0)</f>
        <v>0</v>
      </c>
    </row>
    <row r="783" spans="1:26" x14ac:dyDescent="0.25">
      <c r="A783" s="9"/>
      <c r="B783" s="12" t="str">
        <f t="shared" si="49"/>
        <v xml:space="preserve"> </v>
      </c>
      <c r="C783" s="10" t="str">
        <f t="shared" si="48"/>
        <v xml:space="preserve"> </v>
      </c>
      <c r="D783" s="10">
        <f t="shared" si="50"/>
        <v>0</v>
      </c>
      <c r="E783" s="10">
        <f t="shared" si="51"/>
        <v>0</v>
      </c>
      <c r="W783" t="str">
        <f>IFERROR(MID(Проливка[[#This Row],[Штрихкод ]],1,FIND("-",Проливка[[#This Row],[Штрихкод ]],1)-1)," ")</f>
        <v xml:space="preserve"> </v>
      </c>
      <c r="X783" t="str">
        <f>IFERROR(RIGHT(Проливка[[#This Row],[Штрихкод ]],LEN(Проливка[[#This Row],[Штрихкод ]])-SEARCH("-",Проливка[[#This Row],[Штрихкод ]],1))," ")</f>
        <v xml:space="preserve"> </v>
      </c>
      <c r="Y783">
        <f>IFERROR(VLOOKUP(Проливка[[#This Row],[ID]]*1,'Срок хранения'!A783:B881,2,0),0)</f>
        <v>0</v>
      </c>
      <c r="Z783">
        <f>IFERROR(VLOOKUP(Проливка[[#This Row],[ID]]*1,'Срок хранения'!A783:C881,3,0),0)</f>
        <v>0</v>
      </c>
    </row>
    <row r="784" spans="1:26" x14ac:dyDescent="0.25">
      <c r="A784" s="9"/>
      <c r="B784" s="12" t="str">
        <f t="shared" si="49"/>
        <v xml:space="preserve"> </v>
      </c>
      <c r="C784" s="10" t="str">
        <f t="shared" si="48"/>
        <v xml:space="preserve"> </v>
      </c>
      <c r="D784" s="10">
        <f t="shared" si="50"/>
        <v>0</v>
      </c>
      <c r="E784" s="10">
        <f t="shared" si="51"/>
        <v>0</v>
      </c>
      <c r="W784" t="str">
        <f>IFERROR(MID(Проливка[[#This Row],[Штрихкод ]],1,FIND("-",Проливка[[#This Row],[Штрихкод ]],1)-1)," ")</f>
        <v xml:space="preserve"> </v>
      </c>
      <c r="X784" t="str">
        <f>IFERROR(RIGHT(Проливка[[#This Row],[Штрихкод ]],LEN(Проливка[[#This Row],[Штрихкод ]])-SEARCH("-",Проливка[[#This Row],[Штрихкод ]],1))," ")</f>
        <v xml:space="preserve"> </v>
      </c>
      <c r="Y784">
        <f>IFERROR(VLOOKUP(Проливка[[#This Row],[ID]]*1,'Срок хранения'!A784:B882,2,0),0)</f>
        <v>0</v>
      </c>
      <c r="Z784">
        <f>IFERROR(VLOOKUP(Проливка[[#This Row],[ID]]*1,'Срок хранения'!A784:C882,3,0),0)</f>
        <v>0</v>
      </c>
    </row>
    <row r="785" spans="1:26" x14ac:dyDescent="0.25">
      <c r="A785" s="9"/>
      <c r="B785" s="12" t="str">
        <f t="shared" si="49"/>
        <v xml:space="preserve"> </v>
      </c>
      <c r="C785" s="10" t="str">
        <f t="shared" si="48"/>
        <v xml:space="preserve"> </v>
      </c>
      <c r="D785" s="10">
        <f t="shared" si="50"/>
        <v>0</v>
      </c>
      <c r="E785" s="10">
        <f t="shared" si="51"/>
        <v>0</v>
      </c>
      <c r="W785" t="str">
        <f>IFERROR(MID(Проливка[[#This Row],[Штрихкод ]],1,FIND("-",Проливка[[#This Row],[Штрихкод ]],1)-1)," ")</f>
        <v xml:space="preserve"> </v>
      </c>
      <c r="X785" t="str">
        <f>IFERROR(RIGHT(Проливка[[#This Row],[Штрихкод ]],LEN(Проливка[[#This Row],[Штрихкод ]])-SEARCH("-",Проливка[[#This Row],[Штрихкод ]],1))," ")</f>
        <v xml:space="preserve"> </v>
      </c>
      <c r="Y785">
        <f>IFERROR(VLOOKUP(Проливка[[#This Row],[ID]]*1,'Срок хранения'!A785:B883,2,0),0)</f>
        <v>0</v>
      </c>
      <c r="Z785">
        <f>IFERROR(VLOOKUP(Проливка[[#This Row],[ID]]*1,'Срок хранения'!A785:C883,3,0),0)</f>
        <v>0</v>
      </c>
    </row>
    <row r="786" spans="1:26" x14ac:dyDescent="0.25">
      <c r="A786" s="9"/>
      <c r="B786" s="12" t="str">
        <f t="shared" si="49"/>
        <v xml:space="preserve"> </v>
      </c>
      <c r="C786" s="10" t="str">
        <f t="shared" si="48"/>
        <v xml:space="preserve"> </v>
      </c>
      <c r="D786" s="10">
        <f t="shared" si="50"/>
        <v>0</v>
      </c>
      <c r="E786" s="10">
        <f t="shared" si="51"/>
        <v>0</v>
      </c>
      <c r="W786" t="str">
        <f>IFERROR(MID(Проливка[[#This Row],[Штрихкод ]],1,FIND("-",Проливка[[#This Row],[Штрихкод ]],1)-1)," ")</f>
        <v xml:space="preserve"> </v>
      </c>
      <c r="X786" t="str">
        <f>IFERROR(RIGHT(Проливка[[#This Row],[Штрихкод ]],LEN(Проливка[[#This Row],[Штрихкод ]])-SEARCH("-",Проливка[[#This Row],[Штрихкод ]],1))," ")</f>
        <v xml:space="preserve"> </v>
      </c>
      <c r="Y786">
        <f>IFERROR(VLOOKUP(Проливка[[#This Row],[ID]]*1,'Срок хранения'!A786:B884,2,0),0)</f>
        <v>0</v>
      </c>
      <c r="Z786">
        <f>IFERROR(VLOOKUP(Проливка[[#This Row],[ID]]*1,'Срок хранения'!A786:C884,3,0),0)</f>
        <v>0</v>
      </c>
    </row>
    <row r="787" spans="1:26" x14ac:dyDescent="0.25">
      <c r="A787" s="9"/>
      <c r="B787" s="12" t="str">
        <f t="shared" si="49"/>
        <v xml:space="preserve"> </v>
      </c>
      <c r="C787" s="10" t="str">
        <f t="shared" si="48"/>
        <v xml:space="preserve"> </v>
      </c>
      <c r="D787" s="10">
        <f t="shared" si="50"/>
        <v>0</v>
      </c>
      <c r="E787" s="10">
        <f t="shared" si="51"/>
        <v>0</v>
      </c>
      <c r="W787" t="str">
        <f>IFERROR(MID(Проливка[[#This Row],[Штрихкод ]],1,FIND("-",Проливка[[#This Row],[Штрихкод ]],1)-1)," ")</f>
        <v xml:space="preserve"> </v>
      </c>
      <c r="X787" t="str">
        <f>IFERROR(RIGHT(Проливка[[#This Row],[Штрихкод ]],LEN(Проливка[[#This Row],[Штрихкод ]])-SEARCH("-",Проливка[[#This Row],[Штрихкод ]],1))," ")</f>
        <v xml:space="preserve"> </v>
      </c>
      <c r="Y787">
        <f>IFERROR(VLOOKUP(Проливка[[#This Row],[ID]]*1,'Срок хранения'!A787:B885,2,0),0)</f>
        <v>0</v>
      </c>
      <c r="Z787">
        <f>IFERROR(VLOOKUP(Проливка[[#This Row],[ID]]*1,'Срок хранения'!A787:C885,3,0),0)</f>
        <v>0</v>
      </c>
    </row>
    <row r="788" spans="1:26" x14ac:dyDescent="0.25">
      <c r="A788" s="9"/>
      <c r="B788" s="12" t="str">
        <f t="shared" si="49"/>
        <v xml:space="preserve"> </v>
      </c>
      <c r="C788" s="10" t="str">
        <f t="shared" si="48"/>
        <v xml:space="preserve"> </v>
      </c>
      <c r="D788" s="10">
        <f t="shared" si="50"/>
        <v>0</v>
      </c>
      <c r="E788" s="10">
        <f t="shared" si="51"/>
        <v>0</v>
      </c>
      <c r="W788" t="str">
        <f>IFERROR(MID(Проливка[[#This Row],[Штрихкод ]],1,FIND("-",Проливка[[#This Row],[Штрихкод ]],1)-1)," ")</f>
        <v xml:space="preserve"> </v>
      </c>
      <c r="X788" t="str">
        <f>IFERROR(RIGHT(Проливка[[#This Row],[Штрихкод ]],LEN(Проливка[[#This Row],[Штрихкод ]])-SEARCH("-",Проливка[[#This Row],[Штрихкод ]],1))," ")</f>
        <v xml:space="preserve"> </v>
      </c>
      <c r="Y788">
        <f>IFERROR(VLOOKUP(Проливка[[#This Row],[ID]]*1,'Срок хранения'!A788:B886,2,0),0)</f>
        <v>0</v>
      </c>
      <c r="Z788">
        <f>IFERROR(VLOOKUP(Проливка[[#This Row],[ID]]*1,'Срок хранения'!A788:C886,3,0),0)</f>
        <v>0</v>
      </c>
    </row>
    <row r="789" spans="1:26" x14ac:dyDescent="0.25">
      <c r="A789" s="9"/>
      <c r="B789" s="12" t="str">
        <f t="shared" si="49"/>
        <v xml:space="preserve"> </v>
      </c>
      <c r="C789" s="10" t="str">
        <f t="shared" si="48"/>
        <v xml:space="preserve"> </v>
      </c>
      <c r="D789" s="10">
        <f t="shared" si="50"/>
        <v>0</v>
      </c>
      <c r="E789" s="10">
        <f t="shared" si="51"/>
        <v>0</v>
      </c>
      <c r="W789" t="str">
        <f>IFERROR(MID(Проливка[[#This Row],[Штрихкод ]],1,FIND("-",Проливка[[#This Row],[Штрихкод ]],1)-1)," ")</f>
        <v xml:space="preserve"> </v>
      </c>
      <c r="X789" t="str">
        <f>IFERROR(RIGHT(Проливка[[#This Row],[Штрихкод ]],LEN(Проливка[[#This Row],[Штрихкод ]])-SEARCH("-",Проливка[[#This Row],[Штрихкод ]],1))," ")</f>
        <v xml:space="preserve"> </v>
      </c>
      <c r="Y789">
        <f>IFERROR(VLOOKUP(Проливка[[#This Row],[ID]]*1,'Срок хранения'!A789:B887,2,0),0)</f>
        <v>0</v>
      </c>
      <c r="Z789">
        <f>IFERROR(VLOOKUP(Проливка[[#This Row],[ID]]*1,'Срок хранения'!A789:C887,3,0),0)</f>
        <v>0</v>
      </c>
    </row>
    <row r="790" spans="1:26" x14ac:dyDescent="0.25">
      <c r="A790" s="9"/>
      <c r="B790" s="12" t="str">
        <f t="shared" si="49"/>
        <v xml:space="preserve"> </v>
      </c>
      <c r="C790" s="10" t="str">
        <f t="shared" si="48"/>
        <v xml:space="preserve"> </v>
      </c>
      <c r="D790" s="10">
        <f t="shared" si="50"/>
        <v>0</v>
      </c>
      <c r="E790" s="10">
        <f t="shared" si="51"/>
        <v>0</v>
      </c>
      <c r="W790" t="str">
        <f>IFERROR(MID(Проливка[[#This Row],[Штрихкод ]],1,FIND("-",Проливка[[#This Row],[Штрихкод ]],1)-1)," ")</f>
        <v xml:space="preserve"> </v>
      </c>
      <c r="X790" t="str">
        <f>IFERROR(RIGHT(Проливка[[#This Row],[Штрихкод ]],LEN(Проливка[[#This Row],[Штрихкод ]])-SEARCH("-",Проливка[[#This Row],[Штрихкод ]],1))," ")</f>
        <v xml:space="preserve"> </v>
      </c>
      <c r="Y790">
        <f>IFERROR(VLOOKUP(Проливка[[#This Row],[ID]]*1,'Срок хранения'!A790:B888,2,0),0)</f>
        <v>0</v>
      </c>
      <c r="Z790">
        <f>IFERROR(VLOOKUP(Проливка[[#This Row],[ID]]*1,'Срок хранения'!A790:C888,3,0),0)</f>
        <v>0</v>
      </c>
    </row>
    <row r="791" spans="1:26" x14ac:dyDescent="0.25">
      <c r="A791" s="9"/>
      <c r="B791" s="12" t="str">
        <f t="shared" si="49"/>
        <v xml:space="preserve"> </v>
      </c>
      <c r="C791" s="10" t="str">
        <f t="shared" si="48"/>
        <v xml:space="preserve"> </v>
      </c>
      <c r="D791" s="10">
        <f t="shared" si="50"/>
        <v>0</v>
      </c>
      <c r="E791" s="10">
        <f t="shared" si="51"/>
        <v>0</v>
      </c>
      <c r="W791" t="str">
        <f>IFERROR(MID(Проливка[[#This Row],[Штрихкод ]],1,FIND("-",Проливка[[#This Row],[Штрихкод ]],1)-1)," ")</f>
        <v xml:space="preserve"> </v>
      </c>
      <c r="X791" t="str">
        <f>IFERROR(RIGHT(Проливка[[#This Row],[Штрихкод ]],LEN(Проливка[[#This Row],[Штрихкод ]])-SEARCH("-",Проливка[[#This Row],[Штрихкод ]],1))," ")</f>
        <v xml:space="preserve"> </v>
      </c>
      <c r="Y791">
        <f>IFERROR(VLOOKUP(Проливка[[#This Row],[ID]]*1,'Срок хранения'!A791:B889,2,0),0)</f>
        <v>0</v>
      </c>
      <c r="Z791">
        <f>IFERROR(VLOOKUP(Проливка[[#This Row],[ID]]*1,'Срок хранения'!A791:C889,3,0),0)</f>
        <v>0</v>
      </c>
    </row>
    <row r="792" spans="1:26" x14ac:dyDescent="0.25">
      <c r="A792" s="9"/>
      <c r="B792" s="12" t="str">
        <f t="shared" si="49"/>
        <v xml:space="preserve"> </v>
      </c>
      <c r="C792" s="10" t="str">
        <f t="shared" si="48"/>
        <v xml:space="preserve"> </v>
      </c>
      <c r="D792" s="10">
        <f t="shared" si="50"/>
        <v>0</v>
      </c>
      <c r="E792" s="10">
        <f t="shared" si="51"/>
        <v>0</v>
      </c>
      <c r="W792" t="str">
        <f>IFERROR(MID(Проливка[[#This Row],[Штрихкод ]],1,FIND("-",Проливка[[#This Row],[Штрихкод ]],1)-1)," ")</f>
        <v xml:space="preserve"> </v>
      </c>
      <c r="X792" t="str">
        <f>IFERROR(RIGHT(Проливка[[#This Row],[Штрихкод ]],LEN(Проливка[[#This Row],[Штрихкод ]])-SEARCH("-",Проливка[[#This Row],[Штрихкод ]],1))," ")</f>
        <v xml:space="preserve"> </v>
      </c>
      <c r="Y792">
        <f>IFERROR(VLOOKUP(Проливка[[#This Row],[ID]]*1,'Срок хранения'!A792:B890,2,0),0)</f>
        <v>0</v>
      </c>
      <c r="Z792">
        <f>IFERROR(VLOOKUP(Проливка[[#This Row],[ID]]*1,'Срок хранения'!A792:C890,3,0),0)</f>
        <v>0</v>
      </c>
    </row>
    <row r="793" spans="1:26" x14ac:dyDescent="0.25">
      <c r="A793" s="9"/>
      <c r="B793" s="12" t="str">
        <f t="shared" si="49"/>
        <v xml:space="preserve"> </v>
      </c>
      <c r="C793" s="10" t="str">
        <f t="shared" si="48"/>
        <v xml:space="preserve"> </v>
      </c>
      <c r="D793" s="10">
        <f t="shared" si="50"/>
        <v>0</v>
      </c>
      <c r="E793" s="10">
        <f t="shared" si="51"/>
        <v>0</v>
      </c>
      <c r="W793" t="str">
        <f>IFERROR(MID(Проливка[[#This Row],[Штрихкод ]],1,FIND("-",Проливка[[#This Row],[Штрихкод ]],1)-1)," ")</f>
        <v xml:space="preserve"> </v>
      </c>
      <c r="X793" t="str">
        <f>IFERROR(RIGHT(Проливка[[#This Row],[Штрихкод ]],LEN(Проливка[[#This Row],[Штрихкод ]])-SEARCH("-",Проливка[[#This Row],[Штрихкод ]],1))," ")</f>
        <v xml:space="preserve"> </v>
      </c>
      <c r="Y793">
        <f>IFERROR(VLOOKUP(Проливка[[#This Row],[ID]]*1,'Срок хранения'!A793:B891,2,0),0)</f>
        <v>0</v>
      </c>
      <c r="Z793">
        <f>IFERROR(VLOOKUP(Проливка[[#This Row],[ID]]*1,'Срок хранения'!A793:C891,3,0),0)</f>
        <v>0</v>
      </c>
    </row>
    <row r="794" spans="1:26" x14ac:dyDescent="0.25">
      <c r="A794" s="9"/>
      <c r="B794" s="12" t="str">
        <f t="shared" si="49"/>
        <v xml:space="preserve"> </v>
      </c>
      <c r="C794" s="10" t="str">
        <f t="shared" si="48"/>
        <v xml:space="preserve"> </v>
      </c>
      <c r="D794" s="10">
        <f t="shared" si="50"/>
        <v>0</v>
      </c>
      <c r="E794" s="10">
        <f t="shared" si="51"/>
        <v>0</v>
      </c>
      <c r="W794" t="str">
        <f>IFERROR(MID(Проливка[[#This Row],[Штрихкод ]],1,FIND("-",Проливка[[#This Row],[Штрихкод ]],1)-1)," ")</f>
        <v xml:space="preserve"> </v>
      </c>
      <c r="X794" t="str">
        <f>IFERROR(RIGHT(Проливка[[#This Row],[Штрихкод ]],LEN(Проливка[[#This Row],[Штрихкод ]])-SEARCH("-",Проливка[[#This Row],[Штрихкод ]],1))," ")</f>
        <v xml:space="preserve"> </v>
      </c>
      <c r="Y794">
        <f>IFERROR(VLOOKUP(Проливка[[#This Row],[ID]]*1,'Срок хранения'!A794:B892,2,0),0)</f>
        <v>0</v>
      </c>
      <c r="Z794">
        <f>IFERROR(VLOOKUP(Проливка[[#This Row],[ID]]*1,'Срок хранения'!A794:C892,3,0),0)</f>
        <v>0</v>
      </c>
    </row>
    <row r="795" spans="1:26" x14ac:dyDescent="0.25">
      <c r="A795" s="9"/>
      <c r="B795" s="12" t="str">
        <f t="shared" si="49"/>
        <v xml:space="preserve"> </v>
      </c>
      <c r="C795" s="10" t="str">
        <f t="shared" si="48"/>
        <v xml:space="preserve"> </v>
      </c>
      <c r="D795" s="10">
        <f t="shared" si="50"/>
        <v>0</v>
      </c>
      <c r="E795" s="10">
        <f t="shared" si="51"/>
        <v>0</v>
      </c>
      <c r="W795" t="str">
        <f>IFERROR(MID(Проливка[[#This Row],[Штрихкод ]],1,FIND("-",Проливка[[#This Row],[Штрихкод ]],1)-1)," ")</f>
        <v xml:space="preserve"> </v>
      </c>
      <c r="X795" t="str">
        <f>IFERROR(RIGHT(Проливка[[#This Row],[Штрихкод ]],LEN(Проливка[[#This Row],[Штрихкод ]])-SEARCH("-",Проливка[[#This Row],[Штрихкод ]],1))," ")</f>
        <v xml:space="preserve"> </v>
      </c>
      <c r="Y795">
        <f>IFERROR(VLOOKUP(Проливка[[#This Row],[ID]]*1,'Срок хранения'!A795:B893,2,0),0)</f>
        <v>0</v>
      </c>
      <c r="Z795">
        <f>IFERROR(VLOOKUP(Проливка[[#This Row],[ID]]*1,'Срок хранения'!A795:C893,3,0),0)</f>
        <v>0</v>
      </c>
    </row>
    <row r="796" spans="1:26" x14ac:dyDescent="0.25">
      <c r="A796" s="9"/>
      <c r="B796" s="12" t="str">
        <f t="shared" si="49"/>
        <v xml:space="preserve"> </v>
      </c>
      <c r="C796" s="10" t="str">
        <f t="shared" si="48"/>
        <v xml:space="preserve"> </v>
      </c>
      <c r="D796" s="10">
        <f t="shared" si="50"/>
        <v>0</v>
      </c>
      <c r="E796" s="10">
        <f t="shared" si="51"/>
        <v>0</v>
      </c>
      <c r="W796" t="str">
        <f>IFERROR(MID(Проливка[[#This Row],[Штрихкод ]],1,FIND("-",Проливка[[#This Row],[Штрихкод ]],1)-1)," ")</f>
        <v xml:space="preserve"> </v>
      </c>
      <c r="X796" t="str">
        <f>IFERROR(RIGHT(Проливка[[#This Row],[Штрихкод ]],LEN(Проливка[[#This Row],[Штрихкод ]])-SEARCH("-",Проливка[[#This Row],[Штрихкод ]],1))," ")</f>
        <v xml:space="preserve"> </v>
      </c>
      <c r="Y796">
        <f>IFERROR(VLOOKUP(Проливка[[#This Row],[ID]]*1,'Срок хранения'!A796:B894,2,0),0)</f>
        <v>0</v>
      </c>
      <c r="Z796">
        <f>IFERROR(VLOOKUP(Проливка[[#This Row],[ID]]*1,'Срок хранения'!A796:C894,3,0),0)</f>
        <v>0</v>
      </c>
    </row>
    <row r="797" spans="1:26" x14ac:dyDescent="0.25">
      <c r="A797" s="9"/>
      <c r="B797" s="12" t="str">
        <f t="shared" si="49"/>
        <v xml:space="preserve"> </v>
      </c>
      <c r="C797" s="10" t="str">
        <f t="shared" si="48"/>
        <v xml:space="preserve"> </v>
      </c>
      <c r="D797" s="10">
        <f t="shared" si="50"/>
        <v>0</v>
      </c>
      <c r="E797" s="10">
        <f t="shared" si="51"/>
        <v>0</v>
      </c>
      <c r="W797" t="str">
        <f>IFERROR(MID(Проливка[[#This Row],[Штрихкод ]],1,FIND("-",Проливка[[#This Row],[Штрихкод ]],1)-1)," ")</f>
        <v xml:space="preserve"> </v>
      </c>
      <c r="X797" t="str">
        <f>IFERROR(RIGHT(Проливка[[#This Row],[Штрихкод ]],LEN(Проливка[[#This Row],[Штрихкод ]])-SEARCH("-",Проливка[[#This Row],[Штрихкод ]],1))," ")</f>
        <v xml:space="preserve"> </v>
      </c>
      <c r="Y797">
        <f>IFERROR(VLOOKUP(Проливка[[#This Row],[ID]]*1,'Срок хранения'!A797:B895,2,0),0)</f>
        <v>0</v>
      </c>
      <c r="Z797">
        <f>IFERROR(VLOOKUP(Проливка[[#This Row],[ID]]*1,'Срок хранения'!A797:C895,3,0),0)</f>
        <v>0</v>
      </c>
    </row>
    <row r="798" spans="1:26" x14ac:dyDescent="0.25">
      <c r="A798" s="9"/>
      <c r="B798" s="12" t="str">
        <f t="shared" si="49"/>
        <v xml:space="preserve"> </v>
      </c>
      <c r="C798" s="10" t="str">
        <f t="shared" si="48"/>
        <v xml:space="preserve"> </v>
      </c>
      <c r="D798" s="10">
        <f t="shared" si="50"/>
        <v>0</v>
      </c>
      <c r="E798" s="10">
        <f t="shared" si="51"/>
        <v>0</v>
      </c>
      <c r="W798" t="str">
        <f>IFERROR(MID(Проливка[[#This Row],[Штрихкод ]],1,FIND("-",Проливка[[#This Row],[Штрихкод ]],1)-1)," ")</f>
        <v xml:space="preserve"> </v>
      </c>
      <c r="X798" t="str">
        <f>IFERROR(RIGHT(Проливка[[#This Row],[Штрихкод ]],LEN(Проливка[[#This Row],[Штрихкод ]])-SEARCH("-",Проливка[[#This Row],[Штрихкод ]],1))," ")</f>
        <v xml:space="preserve"> </v>
      </c>
      <c r="Y798">
        <f>IFERROR(VLOOKUP(Проливка[[#This Row],[ID]]*1,'Срок хранения'!A798:B896,2,0),0)</f>
        <v>0</v>
      </c>
      <c r="Z798">
        <f>IFERROR(VLOOKUP(Проливка[[#This Row],[ID]]*1,'Срок хранения'!A798:C896,3,0),0)</f>
        <v>0</v>
      </c>
    </row>
    <row r="799" spans="1:26" x14ac:dyDescent="0.25">
      <c r="A799" s="9"/>
      <c r="B799" s="12" t="str">
        <f t="shared" si="49"/>
        <v xml:space="preserve"> </v>
      </c>
      <c r="C799" s="10" t="str">
        <f t="shared" si="48"/>
        <v xml:space="preserve"> </v>
      </c>
      <c r="D799" s="10">
        <f t="shared" si="50"/>
        <v>0</v>
      </c>
      <c r="E799" s="10">
        <f t="shared" si="51"/>
        <v>0</v>
      </c>
      <c r="W799" t="str">
        <f>IFERROR(MID(Проливка[[#This Row],[Штрихкод ]],1,FIND("-",Проливка[[#This Row],[Штрихкод ]],1)-1)," ")</f>
        <v xml:space="preserve"> </v>
      </c>
      <c r="X799" t="str">
        <f>IFERROR(RIGHT(Проливка[[#This Row],[Штрихкод ]],LEN(Проливка[[#This Row],[Штрихкод ]])-SEARCH("-",Проливка[[#This Row],[Штрихкод ]],1))," ")</f>
        <v xml:space="preserve"> </v>
      </c>
      <c r="Y799">
        <f>IFERROR(VLOOKUP(Проливка[[#This Row],[ID]]*1,'Срок хранения'!A799:B897,2,0),0)</f>
        <v>0</v>
      </c>
      <c r="Z799">
        <f>IFERROR(VLOOKUP(Проливка[[#This Row],[ID]]*1,'Срок хранения'!A799:C897,3,0),0)</f>
        <v>0</v>
      </c>
    </row>
    <row r="800" spans="1:26" x14ac:dyDescent="0.25">
      <c r="A800" s="9"/>
      <c r="B800" s="12" t="str">
        <f t="shared" si="49"/>
        <v xml:space="preserve"> </v>
      </c>
      <c r="C800" s="10" t="str">
        <f t="shared" si="48"/>
        <v xml:space="preserve"> </v>
      </c>
      <c r="D800" s="10">
        <f t="shared" si="50"/>
        <v>0</v>
      </c>
      <c r="E800" s="10">
        <f t="shared" si="51"/>
        <v>0</v>
      </c>
      <c r="W800" t="str">
        <f>IFERROR(MID(Проливка[[#This Row],[Штрихкод ]],1,FIND("-",Проливка[[#This Row],[Штрихкод ]],1)-1)," ")</f>
        <v xml:space="preserve"> </v>
      </c>
      <c r="X800" t="str">
        <f>IFERROR(RIGHT(Проливка[[#This Row],[Штрихкод ]],LEN(Проливка[[#This Row],[Штрихкод ]])-SEARCH("-",Проливка[[#This Row],[Штрихкод ]],1))," ")</f>
        <v xml:space="preserve"> </v>
      </c>
      <c r="Y800">
        <f>IFERROR(VLOOKUP(Проливка[[#This Row],[ID]]*1,'Срок хранения'!A800:B898,2,0),0)</f>
        <v>0</v>
      </c>
      <c r="Z800">
        <f>IFERROR(VLOOKUP(Проливка[[#This Row],[ID]]*1,'Срок хранения'!A800:C898,3,0),0)</f>
        <v>0</v>
      </c>
    </row>
    <row r="801" spans="1:26" x14ac:dyDescent="0.25">
      <c r="A801" s="9"/>
      <c r="B801" s="12" t="str">
        <f t="shared" si="49"/>
        <v xml:space="preserve"> </v>
      </c>
      <c r="C801" s="10" t="str">
        <f t="shared" si="48"/>
        <v xml:space="preserve"> </v>
      </c>
      <c r="D801" s="10">
        <f t="shared" si="50"/>
        <v>0</v>
      </c>
      <c r="E801" s="10">
        <f t="shared" si="51"/>
        <v>0</v>
      </c>
      <c r="W801" t="str">
        <f>IFERROR(MID(Проливка[[#This Row],[Штрихкод ]],1,FIND("-",Проливка[[#This Row],[Штрихкод ]],1)-1)," ")</f>
        <v xml:space="preserve"> </v>
      </c>
      <c r="X801" t="str">
        <f>IFERROR(RIGHT(Проливка[[#This Row],[Штрихкод ]],LEN(Проливка[[#This Row],[Штрихкод ]])-SEARCH("-",Проливка[[#This Row],[Штрихкод ]],1))," ")</f>
        <v xml:space="preserve"> </v>
      </c>
      <c r="Y801">
        <f>IFERROR(VLOOKUP(Проливка[[#This Row],[ID]]*1,'Срок хранения'!A801:B899,2,0),0)</f>
        <v>0</v>
      </c>
      <c r="Z801">
        <f>IFERROR(VLOOKUP(Проливка[[#This Row],[ID]]*1,'Срок хранения'!A801:C899,3,0),0)</f>
        <v>0</v>
      </c>
    </row>
    <row r="802" spans="1:26" x14ac:dyDescent="0.25">
      <c r="A802" s="9"/>
      <c r="B802" s="12" t="str">
        <f t="shared" si="49"/>
        <v xml:space="preserve"> </v>
      </c>
      <c r="C802" s="10" t="str">
        <f t="shared" si="48"/>
        <v xml:space="preserve"> </v>
      </c>
      <c r="D802" s="10">
        <f t="shared" si="50"/>
        <v>0</v>
      </c>
      <c r="E802" s="10">
        <f t="shared" si="51"/>
        <v>0</v>
      </c>
      <c r="W802" t="str">
        <f>IFERROR(MID(Проливка[[#This Row],[Штрихкод ]],1,FIND("-",Проливка[[#This Row],[Штрихкод ]],1)-1)," ")</f>
        <v xml:space="preserve"> </v>
      </c>
      <c r="X802" t="str">
        <f>IFERROR(RIGHT(Проливка[[#This Row],[Штрихкод ]],LEN(Проливка[[#This Row],[Штрихкод ]])-SEARCH("-",Проливка[[#This Row],[Штрихкод ]],1))," ")</f>
        <v xml:space="preserve"> </v>
      </c>
      <c r="Y802">
        <f>IFERROR(VLOOKUP(Проливка[[#This Row],[ID]]*1,'Срок хранения'!A802:B900,2,0),0)</f>
        <v>0</v>
      </c>
      <c r="Z802">
        <f>IFERROR(VLOOKUP(Проливка[[#This Row],[ID]]*1,'Срок хранения'!A802:C900,3,0),0)</f>
        <v>0</v>
      </c>
    </row>
    <row r="803" spans="1:26" x14ac:dyDescent="0.25">
      <c r="A803" s="9"/>
      <c r="B803" s="12" t="str">
        <f t="shared" si="49"/>
        <v xml:space="preserve"> </v>
      </c>
      <c r="C803" s="10" t="str">
        <f t="shared" si="48"/>
        <v xml:space="preserve"> </v>
      </c>
      <c r="D803" s="10">
        <f t="shared" si="50"/>
        <v>0</v>
      </c>
      <c r="E803" s="10">
        <f t="shared" si="51"/>
        <v>0</v>
      </c>
      <c r="W803" t="str">
        <f>IFERROR(MID(Проливка[[#This Row],[Штрихкод ]],1,FIND("-",Проливка[[#This Row],[Штрихкод ]],1)-1)," ")</f>
        <v xml:space="preserve"> </v>
      </c>
      <c r="X803" t="str">
        <f>IFERROR(RIGHT(Проливка[[#This Row],[Штрихкод ]],LEN(Проливка[[#This Row],[Штрихкод ]])-SEARCH("-",Проливка[[#This Row],[Штрихкод ]],1))," ")</f>
        <v xml:space="preserve"> </v>
      </c>
      <c r="Y803">
        <f>IFERROR(VLOOKUP(Проливка[[#This Row],[ID]]*1,'Срок хранения'!A803:B901,2,0),0)</f>
        <v>0</v>
      </c>
      <c r="Z803">
        <f>IFERROR(VLOOKUP(Проливка[[#This Row],[ID]]*1,'Срок хранения'!A803:C901,3,0),0)</f>
        <v>0</v>
      </c>
    </row>
    <row r="804" spans="1:26" x14ac:dyDescent="0.25">
      <c r="A804" s="9"/>
      <c r="B804" s="12" t="str">
        <f t="shared" si="49"/>
        <v xml:space="preserve"> </v>
      </c>
      <c r="C804" s="10" t="str">
        <f t="shared" si="48"/>
        <v xml:space="preserve"> </v>
      </c>
      <c r="D804" s="10">
        <f t="shared" si="50"/>
        <v>0</v>
      </c>
      <c r="E804" s="10">
        <f t="shared" si="51"/>
        <v>0</v>
      </c>
      <c r="W804" t="str">
        <f>IFERROR(MID(Проливка[[#This Row],[Штрихкод ]],1,FIND("-",Проливка[[#This Row],[Штрихкод ]],1)-1)," ")</f>
        <v xml:space="preserve"> </v>
      </c>
      <c r="X804" t="str">
        <f>IFERROR(RIGHT(Проливка[[#This Row],[Штрихкод ]],LEN(Проливка[[#This Row],[Штрихкод ]])-SEARCH("-",Проливка[[#This Row],[Штрихкод ]],1))," ")</f>
        <v xml:space="preserve"> </v>
      </c>
      <c r="Y804">
        <f>IFERROR(VLOOKUP(Проливка[[#This Row],[ID]]*1,'Срок хранения'!A804:B902,2,0),0)</f>
        <v>0</v>
      </c>
      <c r="Z804">
        <f>IFERROR(VLOOKUP(Проливка[[#This Row],[ID]]*1,'Срок хранения'!A804:C902,3,0),0)</f>
        <v>0</v>
      </c>
    </row>
    <row r="805" spans="1:26" x14ac:dyDescent="0.25">
      <c r="A805" s="9"/>
      <c r="B805" s="12" t="str">
        <f t="shared" si="49"/>
        <v xml:space="preserve"> </v>
      </c>
      <c r="C805" s="10" t="str">
        <f t="shared" si="48"/>
        <v xml:space="preserve"> </v>
      </c>
      <c r="D805" s="10">
        <f t="shared" si="50"/>
        <v>0</v>
      </c>
      <c r="E805" s="10">
        <f t="shared" si="51"/>
        <v>0</v>
      </c>
      <c r="W805" t="str">
        <f>IFERROR(MID(Проливка[[#This Row],[Штрихкод ]],1,FIND("-",Проливка[[#This Row],[Штрихкод ]],1)-1)," ")</f>
        <v xml:space="preserve"> </v>
      </c>
      <c r="X805" t="str">
        <f>IFERROR(RIGHT(Проливка[[#This Row],[Штрихкод ]],LEN(Проливка[[#This Row],[Штрихкод ]])-SEARCH("-",Проливка[[#This Row],[Штрихкод ]],1))," ")</f>
        <v xml:space="preserve"> </v>
      </c>
      <c r="Y805">
        <f>IFERROR(VLOOKUP(Проливка[[#This Row],[ID]]*1,'Срок хранения'!A805:B903,2,0),0)</f>
        <v>0</v>
      </c>
      <c r="Z805">
        <f>IFERROR(VLOOKUP(Проливка[[#This Row],[ID]]*1,'Срок хранения'!A805:C903,3,0),0)</f>
        <v>0</v>
      </c>
    </row>
    <row r="806" spans="1:26" x14ac:dyDescent="0.25">
      <c r="A806" s="9"/>
      <c r="B806" s="12" t="str">
        <f t="shared" si="49"/>
        <v xml:space="preserve"> </v>
      </c>
      <c r="C806" s="10" t="str">
        <f t="shared" si="48"/>
        <v xml:space="preserve"> </v>
      </c>
      <c r="D806" s="10">
        <f t="shared" si="50"/>
        <v>0</v>
      </c>
      <c r="E806" s="10">
        <f t="shared" si="51"/>
        <v>0</v>
      </c>
      <c r="W806" t="str">
        <f>IFERROR(MID(Проливка[[#This Row],[Штрихкод ]],1,FIND("-",Проливка[[#This Row],[Штрихкод ]],1)-1)," ")</f>
        <v xml:space="preserve"> </v>
      </c>
      <c r="X806" t="str">
        <f>IFERROR(RIGHT(Проливка[[#This Row],[Штрихкод ]],LEN(Проливка[[#This Row],[Штрихкод ]])-SEARCH("-",Проливка[[#This Row],[Штрихкод ]],1))," ")</f>
        <v xml:space="preserve"> </v>
      </c>
      <c r="Y806">
        <f>IFERROR(VLOOKUP(Проливка[[#This Row],[ID]]*1,'Срок хранения'!A806:B904,2,0),0)</f>
        <v>0</v>
      </c>
      <c r="Z806">
        <f>IFERROR(VLOOKUP(Проливка[[#This Row],[ID]]*1,'Срок хранения'!A806:C904,3,0),0)</f>
        <v>0</v>
      </c>
    </row>
    <row r="807" spans="1:26" x14ac:dyDescent="0.25">
      <c r="A807" s="9"/>
      <c r="B807" s="12" t="str">
        <f t="shared" si="49"/>
        <v xml:space="preserve"> </v>
      </c>
      <c r="C807" s="10" t="str">
        <f t="shared" si="48"/>
        <v xml:space="preserve"> </v>
      </c>
      <c r="D807" s="10">
        <f t="shared" si="50"/>
        <v>0</v>
      </c>
      <c r="E807" s="10">
        <f t="shared" si="51"/>
        <v>0</v>
      </c>
      <c r="W807" t="str">
        <f>IFERROR(MID(Проливка[[#This Row],[Штрихкод ]],1,FIND("-",Проливка[[#This Row],[Штрихкод ]],1)-1)," ")</f>
        <v xml:space="preserve"> </v>
      </c>
      <c r="X807" t="str">
        <f>IFERROR(RIGHT(Проливка[[#This Row],[Штрихкод ]],LEN(Проливка[[#This Row],[Штрихкод ]])-SEARCH("-",Проливка[[#This Row],[Штрихкод ]],1))," ")</f>
        <v xml:space="preserve"> </v>
      </c>
      <c r="Y807">
        <f>IFERROR(VLOOKUP(Проливка[[#This Row],[ID]]*1,'Срок хранения'!A807:B905,2,0),0)</f>
        <v>0</v>
      </c>
      <c r="Z807">
        <f>IFERROR(VLOOKUP(Проливка[[#This Row],[ID]]*1,'Срок хранения'!A807:C905,3,0),0)</f>
        <v>0</v>
      </c>
    </row>
    <row r="808" spans="1:26" x14ac:dyDescent="0.25">
      <c r="A808" s="9"/>
      <c r="B808" s="12" t="str">
        <f t="shared" si="49"/>
        <v xml:space="preserve"> </v>
      </c>
      <c r="C808" s="10" t="str">
        <f t="shared" si="48"/>
        <v xml:space="preserve"> </v>
      </c>
      <c r="D808" s="10">
        <f t="shared" si="50"/>
        <v>0</v>
      </c>
      <c r="E808" s="10">
        <f t="shared" si="51"/>
        <v>0</v>
      </c>
      <c r="W808" t="str">
        <f>IFERROR(MID(Проливка[[#This Row],[Штрихкод ]],1,FIND("-",Проливка[[#This Row],[Штрихкод ]],1)-1)," ")</f>
        <v xml:space="preserve"> </v>
      </c>
      <c r="X808" t="str">
        <f>IFERROR(RIGHT(Проливка[[#This Row],[Штрихкод ]],LEN(Проливка[[#This Row],[Штрихкод ]])-SEARCH("-",Проливка[[#This Row],[Штрихкод ]],1))," ")</f>
        <v xml:space="preserve"> </v>
      </c>
      <c r="Y808">
        <f>IFERROR(VLOOKUP(Проливка[[#This Row],[ID]]*1,'Срок хранения'!A808:B906,2,0),0)</f>
        <v>0</v>
      </c>
      <c r="Z808">
        <f>IFERROR(VLOOKUP(Проливка[[#This Row],[ID]]*1,'Срок хранения'!A808:C906,3,0),0)</f>
        <v>0</v>
      </c>
    </row>
    <row r="809" spans="1:26" x14ac:dyDescent="0.25">
      <c r="A809" s="9"/>
      <c r="B809" s="12" t="str">
        <f t="shared" si="49"/>
        <v xml:space="preserve"> </v>
      </c>
      <c r="C809" s="10" t="str">
        <f t="shared" si="48"/>
        <v xml:space="preserve"> </v>
      </c>
      <c r="D809" s="10">
        <f t="shared" si="50"/>
        <v>0</v>
      </c>
      <c r="E809" s="10">
        <f t="shared" si="51"/>
        <v>0</v>
      </c>
      <c r="W809" t="str">
        <f>IFERROR(MID(Проливка[[#This Row],[Штрихкод ]],1,FIND("-",Проливка[[#This Row],[Штрихкод ]],1)-1)," ")</f>
        <v xml:space="preserve"> </v>
      </c>
      <c r="X809" t="str">
        <f>IFERROR(RIGHT(Проливка[[#This Row],[Штрихкод ]],LEN(Проливка[[#This Row],[Штрихкод ]])-SEARCH("-",Проливка[[#This Row],[Штрихкод ]],1))," ")</f>
        <v xml:space="preserve"> </v>
      </c>
      <c r="Y809">
        <f>IFERROR(VLOOKUP(Проливка[[#This Row],[ID]]*1,'Срок хранения'!A809:B907,2,0),0)</f>
        <v>0</v>
      </c>
      <c r="Z809">
        <f>IFERROR(VLOOKUP(Проливка[[#This Row],[ID]]*1,'Срок хранения'!A809:C907,3,0),0)</f>
        <v>0</v>
      </c>
    </row>
    <row r="810" spans="1:26" x14ac:dyDescent="0.25">
      <c r="A810" s="9"/>
      <c r="B810" s="12" t="str">
        <f t="shared" si="49"/>
        <v xml:space="preserve"> </v>
      </c>
      <c r="C810" s="10" t="str">
        <f t="shared" si="48"/>
        <v xml:space="preserve"> </v>
      </c>
      <c r="D810" s="10">
        <f t="shared" si="50"/>
        <v>0</v>
      </c>
      <c r="E810" s="10">
        <f t="shared" si="51"/>
        <v>0</v>
      </c>
      <c r="W810" t="str">
        <f>IFERROR(MID(Проливка[[#This Row],[Штрихкод ]],1,FIND("-",Проливка[[#This Row],[Штрихкод ]],1)-1)," ")</f>
        <v xml:space="preserve"> </v>
      </c>
      <c r="X810" t="str">
        <f>IFERROR(RIGHT(Проливка[[#This Row],[Штрихкод ]],LEN(Проливка[[#This Row],[Штрихкод ]])-SEARCH("-",Проливка[[#This Row],[Штрихкод ]],1))," ")</f>
        <v xml:space="preserve"> </v>
      </c>
      <c r="Y810">
        <f>IFERROR(VLOOKUP(Проливка[[#This Row],[ID]]*1,'Срок хранения'!A810:B908,2,0),0)</f>
        <v>0</v>
      </c>
      <c r="Z810">
        <f>IFERROR(VLOOKUP(Проливка[[#This Row],[ID]]*1,'Срок хранения'!A810:C908,3,0),0)</f>
        <v>0</v>
      </c>
    </row>
    <row r="811" spans="1:26" x14ac:dyDescent="0.25">
      <c r="A811" s="9"/>
      <c r="B811" s="12" t="str">
        <f t="shared" si="49"/>
        <v xml:space="preserve"> </v>
      </c>
      <c r="C811" s="10" t="str">
        <f t="shared" si="48"/>
        <v xml:space="preserve"> </v>
      </c>
      <c r="D811" s="10">
        <f t="shared" si="50"/>
        <v>0</v>
      </c>
      <c r="E811" s="10">
        <f t="shared" si="51"/>
        <v>0</v>
      </c>
      <c r="W811" t="str">
        <f>IFERROR(MID(Проливка[[#This Row],[Штрихкод ]],1,FIND("-",Проливка[[#This Row],[Штрихкод ]],1)-1)," ")</f>
        <v xml:space="preserve"> </v>
      </c>
      <c r="X811" t="str">
        <f>IFERROR(RIGHT(Проливка[[#This Row],[Штрихкод ]],LEN(Проливка[[#This Row],[Штрихкод ]])-SEARCH("-",Проливка[[#This Row],[Штрихкод ]],1))," ")</f>
        <v xml:space="preserve"> </v>
      </c>
      <c r="Y811">
        <f>IFERROR(VLOOKUP(Проливка[[#This Row],[ID]]*1,'Срок хранения'!A811:B909,2,0),0)</f>
        <v>0</v>
      </c>
      <c r="Z811">
        <f>IFERROR(VLOOKUP(Проливка[[#This Row],[ID]]*1,'Срок хранения'!A811:C909,3,0),0)</f>
        <v>0</v>
      </c>
    </row>
    <row r="812" spans="1:26" x14ac:dyDescent="0.25">
      <c r="A812" s="9"/>
      <c r="B812" s="12" t="str">
        <f t="shared" si="49"/>
        <v xml:space="preserve"> </v>
      </c>
      <c r="C812" s="10" t="str">
        <f t="shared" si="48"/>
        <v xml:space="preserve"> </v>
      </c>
      <c r="D812" s="10">
        <f t="shared" si="50"/>
        <v>0</v>
      </c>
      <c r="E812" s="10">
        <f t="shared" si="51"/>
        <v>0</v>
      </c>
      <c r="W812" t="str">
        <f>IFERROR(MID(Проливка[[#This Row],[Штрихкод ]],1,FIND("-",Проливка[[#This Row],[Штрихкод ]],1)-1)," ")</f>
        <v xml:space="preserve"> </v>
      </c>
      <c r="X812" t="str">
        <f>IFERROR(RIGHT(Проливка[[#This Row],[Штрихкод ]],LEN(Проливка[[#This Row],[Штрихкод ]])-SEARCH("-",Проливка[[#This Row],[Штрихкод ]],1))," ")</f>
        <v xml:space="preserve"> </v>
      </c>
      <c r="Y812">
        <f>IFERROR(VLOOKUP(Проливка[[#This Row],[ID]]*1,'Срок хранения'!A812:B910,2,0),0)</f>
        <v>0</v>
      </c>
      <c r="Z812">
        <f>IFERROR(VLOOKUP(Проливка[[#This Row],[ID]]*1,'Срок хранения'!A812:C910,3,0),0)</f>
        <v>0</v>
      </c>
    </row>
    <row r="813" spans="1:26" x14ac:dyDescent="0.25">
      <c r="A813" s="9"/>
      <c r="B813" s="12" t="str">
        <f t="shared" si="49"/>
        <v xml:space="preserve"> </v>
      </c>
      <c r="C813" s="10" t="str">
        <f t="shared" si="48"/>
        <v xml:space="preserve"> </v>
      </c>
      <c r="D813" s="10">
        <f t="shared" si="50"/>
        <v>0</v>
      </c>
      <c r="E813" s="10">
        <f t="shared" si="51"/>
        <v>0</v>
      </c>
      <c r="W813" t="str">
        <f>IFERROR(MID(Проливка[[#This Row],[Штрихкод ]],1,FIND("-",Проливка[[#This Row],[Штрихкод ]],1)-1)," ")</f>
        <v xml:space="preserve"> </v>
      </c>
      <c r="X813" t="str">
        <f>IFERROR(RIGHT(Проливка[[#This Row],[Штрихкод ]],LEN(Проливка[[#This Row],[Штрихкод ]])-SEARCH("-",Проливка[[#This Row],[Штрихкод ]],1))," ")</f>
        <v xml:space="preserve"> </v>
      </c>
      <c r="Y813">
        <f>IFERROR(VLOOKUP(Проливка[[#This Row],[ID]]*1,'Срок хранения'!A813:B911,2,0),0)</f>
        <v>0</v>
      </c>
      <c r="Z813">
        <f>IFERROR(VLOOKUP(Проливка[[#This Row],[ID]]*1,'Срок хранения'!A813:C911,3,0),0)</f>
        <v>0</v>
      </c>
    </row>
    <row r="814" spans="1:26" x14ac:dyDescent="0.25">
      <c r="A814" s="9"/>
      <c r="B814" s="12" t="str">
        <f t="shared" si="49"/>
        <v xml:space="preserve"> </v>
      </c>
      <c r="C814" s="10" t="str">
        <f t="shared" si="48"/>
        <v xml:space="preserve"> </v>
      </c>
      <c r="D814" s="10">
        <f t="shared" si="50"/>
        <v>0</v>
      </c>
      <c r="E814" s="10">
        <f t="shared" si="51"/>
        <v>0</v>
      </c>
      <c r="W814" t="str">
        <f>IFERROR(MID(Проливка[[#This Row],[Штрихкод ]],1,FIND("-",Проливка[[#This Row],[Штрихкод ]],1)-1)," ")</f>
        <v xml:space="preserve"> </v>
      </c>
      <c r="X814" t="str">
        <f>IFERROR(RIGHT(Проливка[[#This Row],[Штрихкод ]],LEN(Проливка[[#This Row],[Штрихкод ]])-SEARCH("-",Проливка[[#This Row],[Штрихкод ]],1))," ")</f>
        <v xml:space="preserve"> </v>
      </c>
      <c r="Y814">
        <f>IFERROR(VLOOKUP(Проливка[[#This Row],[ID]]*1,'Срок хранения'!A814:B912,2,0),0)</f>
        <v>0</v>
      </c>
      <c r="Z814">
        <f>IFERROR(VLOOKUP(Проливка[[#This Row],[ID]]*1,'Срок хранения'!A814:C912,3,0),0)</f>
        <v>0</v>
      </c>
    </row>
    <row r="815" spans="1:26" x14ac:dyDescent="0.25">
      <c r="A815" s="9"/>
      <c r="B815" s="12" t="str">
        <f t="shared" si="49"/>
        <v xml:space="preserve"> </v>
      </c>
      <c r="C815" s="10" t="str">
        <f t="shared" si="48"/>
        <v xml:space="preserve"> </v>
      </c>
      <c r="D815" s="10">
        <f t="shared" si="50"/>
        <v>0</v>
      </c>
      <c r="E815" s="10">
        <f t="shared" si="51"/>
        <v>0</v>
      </c>
      <c r="W815" t="str">
        <f>IFERROR(MID(Проливка[[#This Row],[Штрихкод ]],1,FIND("-",Проливка[[#This Row],[Штрихкод ]],1)-1)," ")</f>
        <v xml:space="preserve"> </v>
      </c>
      <c r="X815" t="str">
        <f>IFERROR(RIGHT(Проливка[[#This Row],[Штрихкод ]],LEN(Проливка[[#This Row],[Штрихкод ]])-SEARCH("-",Проливка[[#This Row],[Штрихкод ]],1))," ")</f>
        <v xml:space="preserve"> </v>
      </c>
      <c r="Y815">
        <f>IFERROR(VLOOKUP(Проливка[[#This Row],[ID]]*1,'Срок хранения'!A815:B913,2,0),0)</f>
        <v>0</v>
      </c>
      <c r="Z815">
        <f>IFERROR(VLOOKUP(Проливка[[#This Row],[ID]]*1,'Срок хранения'!A815:C913,3,0),0)</f>
        <v>0</v>
      </c>
    </row>
    <row r="816" spans="1:26" x14ac:dyDescent="0.25">
      <c r="A816" s="9"/>
      <c r="B816" s="12" t="str">
        <f t="shared" si="49"/>
        <v xml:space="preserve"> </v>
      </c>
      <c r="C816" s="10" t="str">
        <f t="shared" si="48"/>
        <v xml:space="preserve"> </v>
      </c>
      <c r="D816" s="10">
        <f t="shared" si="50"/>
        <v>0</v>
      </c>
      <c r="E816" s="10">
        <f t="shared" si="51"/>
        <v>0</v>
      </c>
      <c r="W816" t="str">
        <f>IFERROR(MID(Проливка[[#This Row],[Штрихкод ]],1,FIND("-",Проливка[[#This Row],[Штрихкод ]],1)-1)," ")</f>
        <v xml:space="preserve"> </v>
      </c>
      <c r="X816" t="str">
        <f>IFERROR(RIGHT(Проливка[[#This Row],[Штрихкод ]],LEN(Проливка[[#This Row],[Штрихкод ]])-SEARCH("-",Проливка[[#This Row],[Штрихкод ]],1))," ")</f>
        <v xml:space="preserve"> </v>
      </c>
      <c r="Y816">
        <f>IFERROR(VLOOKUP(Проливка[[#This Row],[ID]]*1,'Срок хранения'!A816:B914,2,0),0)</f>
        <v>0</v>
      </c>
      <c r="Z816">
        <f>IFERROR(VLOOKUP(Проливка[[#This Row],[ID]]*1,'Срок хранения'!A816:C914,3,0),0)</f>
        <v>0</v>
      </c>
    </row>
    <row r="817" spans="1:26" x14ac:dyDescent="0.25">
      <c r="A817" s="9"/>
      <c r="B817" s="12" t="str">
        <f t="shared" si="49"/>
        <v xml:space="preserve"> </v>
      </c>
      <c r="C817" s="10" t="str">
        <f t="shared" si="48"/>
        <v xml:space="preserve"> </v>
      </c>
      <c r="D817" s="10">
        <f t="shared" si="50"/>
        <v>0</v>
      </c>
      <c r="E817" s="10">
        <f t="shared" si="51"/>
        <v>0</v>
      </c>
      <c r="W817" t="str">
        <f>IFERROR(MID(Проливка[[#This Row],[Штрихкод ]],1,FIND("-",Проливка[[#This Row],[Штрихкод ]],1)-1)," ")</f>
        <v xml:space="preserve"> </v>
      </c>
      <c r="X817" t="str">
        <f>IFERROR(RIGHT(Проливка[[#This Row],[Штрихкод ]],LEN(Проливка[[#This Row],[Штрихкод ]])-SEARCH("-",Проливка[[#This Row],[Штрихкод ]],1))," ")</f>
        <v xml:space="preserve"> </v>
      </c>
      <c r="Y817">
        <f>IFERROR(VLOOKUP(Проливка[[#This Row],[ID]]*1,'Срок хранения'!A817:B915,2,0),0)</f>
        <v>0</v>
      </c>
      <c r="Z817">
        <f>IFERROR(VLOOKUP(Проливка[[#This Row],[ID]]*1,'Срок хранения'!A817:C915,3,0),0)</f>
        <v>0</v>
      </c>
    </row>
    <row r="818" spans="1:26" x14ac:dyDescent="0.25">
      <c r="A818" s="9"/>
      <c r="B818" s="12" t="str">
        <f t="shared" si="49"/>
        <v xml:space="preserve"> </v>
      </c>
      <c r="C818" s="10" t="str">
        <f t="shared" si="48"/>
        <v xml:space="preserve"> </v>
      </c>
      <c r="D818" s="10">
        <f t="shared" si="50"/>
        <v>0</v>
      </c>
      <c r="E818" s="10">
        <f t="shared" si="51"/>
        <v>0</v>
      </c>
      <c r="W818" t="str">
        <f>IFERROR(MID(Проливка[[#This Row],[Штрихкод ]],1,FIND("-",Проливка[[#This Row],[Штрихкод ]],1)-1)," ")</f>
        <v xml:space="preserve"> </v>
      </c>
      <c r="X818" t="str">
        <f>IFERROR(RIGHT(Проливка[[#This Row],[Штрихкод ]],LEN(Проливка[[#This Row],[Штрихкод ]])-SEARCH("-",Проливка[[#This Row],[Штрихкод ]],1))," ")</f>
        <v xml:space="preserve"> </v>
      </c>
      <c r="Y818">
        <f>IFERROR(VLOOKUP(Проливка[[#This Row],[ID]]*1,'Срок хранения'!A818:B916,2,0),0)</f>
        <v>0</v>
      </c>
      <c r="Z818">
        <f>IFERROR(VLOOKUP(Проливка[[#This Row],[ID]]*1,'Срок хранения'!A818:C916,3,0),0)</f>
        <v>0</v>
      </c>
    </row>
    <row r="819" spans="1:26" x14ac:dyDescent="0.25">
      <c r="A819" s="9"/>
      <c r="B819" s="12" t="str">
        <f t="shared" si="49"/>
        <v xml:space="preserve"> </v>
      </c>
      <c r="C819" s="10" t="str">
        <f t="shared" si="48"/>
        <v xml:space="preserve"> </v>
      </c>
      <c r="D819" s="10">
        <f t="shared" si="50"/>
        <v>0</v>
      </c>
      <c r="E819" s="10">
        <f t="shared" si="51"/>
        <v>0</v>
      </c>
      <c r="W819" t="str">
        <f>IFERROR(MID(Проливка[[#This Row],[Штрихкод ]],1,FIND("-",Проливка[[#This Row],[Штрихкод ]],1)-1)," ")</f>
        <v xml:space="preserve"> </v>
      </c>
      <c r="X819" t="str">
        <f>IFERROR(RIGHT(Проливка[[#This Row],[Штрихкод ]],LEN(Проливка[[#This Row],[Штрихкод ]])-SEARCH("-",Проливка[[#This Row],[Штрихкод ]],1))," ")</f>
        <v xml:space="preserve"> </v>
      </c>
      <c r="Y819">
        <f>IFERROR(VLOOKUP(Проливка[[#This Row],[ID]]*1,'Срок хранения'!A819:B917,2,0),0)</f>
        <v>0</v>
      </c>
      <c r="Z819">
        <f>IFERROR(VLOOKUP(Проливка[[#This Row],[ID]]*1,'Срок хранения'!A819:C917,3,0),0)</f>
        <v>0</v>
      </c>
    </row>
    <row r="820" spans="1:26" x14ac:dyDescent="0.25">
      <c r="A820" s="9"/>
      <c r="B820" s="12" t="str">
        <f t="shared" si="49"/>
        <v xml:space="preserve"> </v>
      </c>
      <c r="C820" s="10" t="str">
        <f t="shared" si="48"/>
        <v xml:space="preserve"> </v>
      </c>
      <c r="D820" s="10">
        <f t="shared" si="50"/>
        <v>0</v>
      </c>
      <c r="E820" s="10">
        <f t="shared" si="51"/>
        <v>0</v>
      </c>
      <c r="W820" t="str">
        <f>IFERROR(MID(Проливка[[#This Row],[Штрихкод ]],1,FIND("-",Проливка[[#This Row],[Штрихкод ]],1)-1)," ")</f>
        <v xml:space="preserve"> </v>
      </c>
      <c r="X820" t="str">
        <f>IFERROR(RIGHT(Проливка[[#This Row],[Штрихкод ]],LEN(Проливка[[#This Row],[Штрихкод ]])-SEARCH("-",Проливка[[#This Row],[Штрихкод ]],1))," ")</f>
        <v xml:space="preserve"> </v>
      </c>
      <c r="Y820">
        <f>IFERROR(VLOOKUP(Проливка[[#This Row],[ID]]*1,'Срок хранения'!A820:B918,2,0),0)</f>
        <v>0</v>
      </c>
      <c r="Z820">
        <f>IFERROR(VLOOKUP(Проливка[[#This Row],[ID]]*1,'Срок хранения'!A820:C918,3,0),0)</f>
        <v>0</v>
      </c>
    </row>
    <row r="821" spans="1:26" x14ac:dyDescent="0.25">
      <c r="A821" s="9"/>
      <c r="B821" s="12" t="str">
        <f t="shared" si="49"/>
        <v xml:space="preserve"> </v>
      </c>
      <c r="C821" s="10" t="str">
        <f t="shared" si="48"/>
        <v xml:space="preserve"> </v>
      </c>
      <c r="D821" s="10">
        <f t="shared" si="50"/>
        <v>0</v>
      </c>
      <c r="E821" s="10">
        <f t="shared" si="51"/>
        <v>0</v>
      </c>
      <c r="W821" t="str">
        <f>IFERROR(MID(Проливка[[#This Row],[Штрихкод ]],1,FIND("-",Проливка[[#This Row],[Штрихкод ]],1)-1)," ")</f>
        <v xml:space="preserve"> </v>
      </c>
      <c r="X821" t="str">
        <f>IFERROR(RIGHT(Проливка[[#This Row],[Штрихкод ]],LEN(Проливка[[#This Row],[Штрихкод ]])-SEARCH("-",Проливка[[#This Row],[Штрихкод ]],1))," ")</f>
        <v xml:space="preserve"> </v>
      </c>
      <c r="Y821">
        <f>IFERROR(VLOOKUP(Проливка[[#This Row],[ID]]*1,'Срок хранения'!A821:B919,2,0),0)</f>
        <v>0</v>
      </c>
      <c r="Z821">
        <f>IFERROR(VLOOKUP(Проливка[[#This Row],[ID]]*1,'Срок хранения'!A821:C919,3,0),0)</f>
        <v>0</v>
      </c>
    </row>
    <row r="822" spans="1:26" x14ac:dyDescent="0.25">
      <c r="A822" s="9"/>
      <c r="B822" s="12" t="str">
        <f t="shared" si="49"/>
        <v xml:space="preserve"> </v>
      </c>
      <c r="C822" s="10" t="str">
        <f t="shared" si="48"/>
        <v xml:space="preserve"> </v>
      </c>
      <c r="D822" s="10">
        <f t="shared" si="50"/>
        <v>0</v>
      </c>
      <c r="E822" s="10">
        <f t="shared" si="51"/>
        <v>0</v>
      </c>
      <c r="W822" t="str">
        <f>IFERROR(MID(Проливка[[#This Row],[Штрихкод ]],1,FIND("-",Проливка[[#This Row],[Штрихкод ]],1)-1)," ")</f>
        <v xml:space="preserve"> </v>
      </c>
      <c r="X822" t="str">
        <f>IFERROR(RIGHT(Проливка[[#This Row],[Штрихкод ]],LEN(Проливка[[#This Row],[Штрихкод ]])-SEARCH("-",Проливка[[#This Row],[Штрихкод ]],1))," ")</f>
        <v xml:space="preserve"> </v>
      </c>
      <c r="Y822">
        <f>IFERROR(VLOOKUP(Проливка[[#This Row],[ID]]*1,'Срок хранения'!A822:B920,2,0),0)</f>
        <v>0</v>
      </c>
      <c r="Z822">
        <f>IFERROR(VLOOKUP(Проливка[[#This Row],[ID]]*1,'Срок хранения'!A822:C920,3,0),0)</f>
        <v>0</v>
      </c>
    </row>
    <row r="823" spans="1:26" x14ac:dyDescent="0.25">
      <c r="A823" s="9"/>
      <c r="B823" s="12" t="str">
        <f t="shared" si="49"/>
        <v xml:space="preserve"> </v>
      </c>
      <c r="C823" s="10" t="str">
        <f t="shared" si="48"/>
        <v xml:space="preserve"> </v>
      </c>
      <c r="D823" s="10">
        <f t="shared" si="50"/>
        <v>0</v>
      </c>
      <c r="E823" s="10">
        <f t="shared" si="51"/>
        <v>0</v>
      </c>
      <c r="W823" t="str">
        <f>IFERROR(MID(Проливка[[#This Row],[Штрихкод ]],1,FIND("-",Проливка[[#This Row],[Штрихкод ]],1)-1)," ")</f>
        <v xml:space="preserve"> </v>
      </c>
      <c r="X823" t="str">
        <f>IFERROR(RIGHT(Проливка[[#This Row],[Штрихкод ]],LEN(Проливка[[#This Row],[Штрихкод ]])-SEARCH("-",Проливка[[#This Row],[Штрихкод ]],1))," ")</f>
        <v xml:space="preserve"> </v>
      </c>
      <c r="Y823">
        <f>IFERROR(VLOOKUP(Проливка[[#This Row],[ID]]*1,'Срок хранения'!A823:B921,2,0),0)</f>
        <v>0</v>
      </c>
      <c r="Z823">
        <f>IFERROR(VLOOKUP(Проливка[[#This Row],[ID]]*1,'Срок хранения'!A823:C921,3,0),0)</f>
        <v>0</v>
      </c>
    </row>
    <row r="824" spans="1:26" x14ac:dyDescent="0.25">
      <c r="A824" s="9"/>
      <c r="B824" s="12" t="str">
        <f t="shared" si="49"/>
        <v xml:space="preserve"> </v>
      </c>
      <c r="C824" s="10" t="str">
        <f t="shared" si="48"/>
        <v xml:space="preserve"> </v>
      </c>
      <c r="D824" s="10">
        <f t="shared" si="50"/>
        <v>0</v>
      </c>
      <c r="E824" s="10">
        <f t="shared" si="51"/>
        <v>0</v>
      </c>
      <c r="W824" t="str">
        <f>IFERROR(MID(Проливка[[#This Row],[Штрихкод ]],1,FIND("-",Проливка[[#This Row],[Штрихкод ]],1)-1)," ")</f>
        <v xml:space="preserve"> </v>
      </c>
      <c r="X824" t="str">
        <f>IFERROR(RIGHT(Проливка[[#This Row],[Штрихкод ]],LEN(Проливка[[#This Row],[Штрихкод ]])-SEARCH("-",Проливка[[#This Row],[Штрихкод ]],1))," ")</f>
        <v xml:space="preserve"> </v>
      </c>
      <c r="Y824">
        <f>IFERROR(VLOOKUP(Проливка[[#This Row],[ID]]*1,'Срок хранения'!A824:B922,2,0),0)</f>
        <v>0</v>
      </c>
      <c r="Z824">
        <f>IFERROR(VLOOKUP(Проливка[[#This Row],[ID]]*1,'Срок хранения'!A824:C922,3,0),0)</f>
        <v>0</v>
      </c>
    </row>
    <row r="825" spans="1:26" x14ac:dyDescent="0.25">
      <c r="A825" s="9"/>
      <c r="B825" s="12" t="str">
        <f t="shared" si="49"/>
        <v xml:space="preserve"> </v>
      </c>
      <c r="C825" s="10" t="str">
        <f t="shared" si="48"/>
        <v xml:space="preserve"> </v>
      </c>
      <c r="D825" s="10">
        <f t="shared" si="50"/>
        <v>0</v>
      </c>
      <c r="E825" s="10">
        <f t="shared" si="51"/>
        <v>0</v>
      </c>
      <c r="W825" t="str">
        <f>IFERROR(MID(Проливка[[#This Row],[Штрихкод ]],1,FIND("-",Проливка[[#This Row],[Штрихкод ]],1)-1)," ")</f>
        <v xml:space="preserve"> </v>
      </c>
      <c r="X825" t="str">
        <f>IFERROR(RIGHT(Проливка[[#This Row],[Штрихкод ]],LEN(Проливка[[#This Row],[Штрихкод ]])-SEARCH("-",Проливка[[#This Row],[Штрихкод ]],1))," ")</f>
        <v xml:space="preserve"> </v>
      </c>
      <c r="Y825">
        <f>IFERROR(VLOOKUP(Проливка[[#This Row],[ID]]*1,'Срок хранения'!A825:B923,2,0),0)</f>
        <v>0</v>
      </c>
      <c r="Z825">
        <f>IFERROR(VLOOKUP(Проливка[[#This Row],[ID]]*1,'Срок хранения'!A825:C923,3,0),0)</f>
        <v>0</v>
      </c>
    </row>
    <row r="826" spans="1:26" x14ac:dyDescent="0.25">
      <c r="A826" s="9"/>
      <c r="B826" s="12" t="str">
        <f t="shared" si="49"/>
        <v xml:space="preserve"> </v>
      </c>
      <c r="C826" s="10" t="str">
        <f t="shared" si="48"/>
        <v xml:space="preserve"> </v>
      </c>
      <c r="D826" s="10">
        <f t="shared" si="50"/>
        <v>0</v>
      </c>
      <c r="E826" s="10">
        <f t="shared" si="51"/>
        <v>0</v>
      </c>
      <c r="W826" t="str">
        <f>IFERROR(MID(Проливка[[#This Row],[Штрихкод ]],1,FIND("-",Проливка[[#This Row],[Штрихкод ]],1)-1)," ")</f>
        <v xml:space="preserve"> </v>
      </c>
      <c r="X826" t="str">
        <f>IFERROR(RIGHT(Проливка[[#This Row],[Штрихкод ]],LEN(Проливка[[#This Row],[Штрихкод ]])-SEARCH("-",Проливка[[#This Row],[Штрихкод ]],1))," ")</f>
        <v xml:space="preserve"> </v>
      </c>
      <c r="Y826">
        <f>IFERROR(VLOOKUP(Проливка[[#This Row],[ID]]*1,'Срок хранения'!A826:B924,2,0),0)</f>
        <v>0</v>
      </c>
      <c r="Z826">
        <f>IFERROR(VLOOKUP(Проливка[[#This Row],[ID]]*1,'Срок хранения'!A826:C924,3,0),0)</f>
        <v>0</v>
      </c>
    </row>
    <row r="827" spans="1:26" x14ac:dyDescent="0.25">
      <c r="A827" s="9"/>
      <c r="B827" s="12" t="str">
        <f t="shared" si="49"/>
        <v xml:space="preserve"> </v>
      </c>
      <c r="C827" s="10" t="str">
        <f t="shared" si="48"/>
        <v xml:space="preserve"> </v>
      </c>
      <c r="D827" s="10">
        <f t="shared" si="50"/>
        <v>0</v>
      </c>
      <c r="E827" s="10">
        <f t="shared" si="51"/>
        <v>0</v>
      </c>
      <c r="W827" t="str">
        <f>IFERROR(MID(Проливка[[#This Row],[Штрихкод ]],1,FIND("-",Проливка[[#This Row],[Штрихкод ]],1)-1)," ")</f>
        <v xml:space="preserve"> </v>
      </c>
      <c r="X827" t="str">
        <f>IFERROR(RIGHT(Проливка[[#This Row],[Штрихкод ]],LEN(Проливка[[#This Row],[Штрихкод ]])-SEARCH("-",Проливка[[#This Row],[Штрихкод ]],1))," ")</f>
        <v xml:space="preserve"> </v>
      </c>
      <c r="Y827">
        <f>IFERROR(VLOOKUP(Проливка[[#This Row],[ID]]*1,'Срок хранения'!A827:B925,2,0),0)</f>
        <v>0</v>
      </c>
      <c r="Z827">
        <f>IFERROR(VLOOKUP(Проливка[[#This Row],[ID]]*1,'Срок хранения'!A827:C925,3,0),0)</f>
        <v>0</v>
      </c>
    </row>
    <row r="828" spans="1:26" x14ac:dyDescent="0.25">
      <c r="A828" s="9"/>
      <c r="B828" s="12" t="str">
        <f t="shared" si="49"/>
        <v xml:space="preserve"> </v>
      </c>
      <c r="C828" s="10" t="str">
        <f t="shared" si="48"/>
        <v xml:space="preserve"> </v>
      </c>
      <c r="D828" s="10">
        <f t="shared" si="50"/>
        <v>0</v>
      </c>
      <c r="E828" s="10">
        <f t="shared" si="51"/>
        <v>0</v>
      </c>
      <c r="W828" t="str">
        <f>IFERROR(MID(Проливка[[#This Row],[Штрихкод ]],1,FIND("-",Проливка[[#This Row],[Штрихкод ]],1)-1)," ")</f>
        <v xml:space="preserve"> </v>
      </c>
      <c r="X828" t="str">
        <f>IFERROR(RIGHT(Проливка[[#This Row],[Штрихкод ]],LEN(Проливка[[#This Row],[Штрихкод ]])-SEARCH("-",Проливка[[#This Row],[Штрихкод ]],1))," ")</f>
        <v xml:space="preserve"> </v>
      </c>
      <c r="Y828">
        <f>IFERROR(VLOOKUP(Проливка[[#This Row],[ID]]*1,'Срок хранения'!A828:B926,2,0),0)</f>
        <v>0</v>
      </c>
      <c r="Z828">
        <f>IFERROR(VLOOKUP(Проливка[[#This Row],[ID]]*1,'Срок хранения'!A828:C926,3,0),0)</f>
        <v>0</v>
      </c>
    </row>
    <row r="829" spans="1:26" x14ac:dyDescent="0.25">
      <c r="A829" s="9"/>
      <c r="B829" s="12" t="str">
        <f t="shared" si="49"/>
        <v xml:space="preserve"> </v>
      </c>
      <c r="C829" s="10" t="str">
        <f t="shared" si="48"/>
        <v xml:space="preserve"> </v>
      </c>
      <c r="D829" s="10">
        <f t="shared" si="50"/>
        <v>0</v>
      </c>
      <c r="E829" s="10">
        <f t="shared" si="51"/>
        <v>0</v>
      </c>
      <c r="W829" t="str">
        <f>IFERROR(MID(Проливка[[#This Row],[Штрихкод ]],1,FIND("-",Проливка[[#This Row],[Штрихкод ]],1)-1)," ")</f>
        <v xml:space="preserve"> </v>
      </c>
      <c r="X829" t="str">
        <f>IFERROR(RIGHT(Проливка[[#This Row],[Штрихкод ]],LEN(Проливка[[#This Row],[Штрихкод ]])-SEARCH("-",Проливка[[#This Row],[Штрихкод ]],1))," ")</f>
        <v xml:space="preserve"> </v>
      </c>
      <c r="Y829">
        <f>IFERROR(VLOOKUP(Проливка[[#This Row],[ID]]*1,'Срок хранения'!A829:B927,2,0),0)</f>
        <v>0</v>
      </c>
      <c r="Z829">
        <f>IFERROR(VLOOKUP(Проливка[[#This Row],[ID]]*1,'Срок хранения'!A829:C927,3,0),0)</f>
        <v>0</v>
      </c>
    </row>
    <row r="830" spans="1:26" x14ac:dyDescent="0.25">
      <c r="A830" s="9"/>
      <c r="B830" s="12" t="str">
        <f t="shared" si="49"/>
        <v xml:space="preserve"> </v>
      </c>
      <c r="C830" s="10" t="str">
        <f t="shared" si="48"/>
        <v xml:space="preserve"> </v>
      </c>
      <c r="D830" s="10">
        <f t="shared" si="50"/>
        <v>0</v>
      </c>
      <c r="E830" s="10">
        <f t="shared" si="51"/>
        <v>0</v>
      </c>
      <c r="W830" t="str">
        <f>IFERROR(MID(Проливка[[#This Row],[Штрихкод ]],1,FIND("-",Проливка[[#This Row],[Штрихкод ]],1)-1)," ")</f>
        <v xml:space="preserve"> </v>
      </c>
      <c r="X830" t="str">
        <f>IFERROR(RIGHT(Проливка[[#This Row],[Штрихкод ]],LEN(Проливка[[#This Row],[Штрихкод ]])-SEARCH("-",Проливка[[#This Row],[Штрихкод ]],1))," ")</f>
        <v xml:space="preserve"> </v>
      </c>
      <c r="Y830">
        <f>IFERROR(VLOOKUP(Проливка[[#This Row],[ID]]*1,'Срок хранения'!A830:B928,2,0),0)</f>
        <v>0</v>
      </c>
      <c r="Z830">
        <f>IFERROR(VLOOKUP(Проливка[[#This Row],[ID]]*1,'Срок хранения'!A830:C928,3,0),0)</f>
        <v>0</v>
      </c>
    </row>
    <row r="831" spans="1:26" x14ac:dyDescent="0.25">
      <c r="A831" s="9"/>
      <c r="B831" s="12" t="str">
        <f t="shared" si="49"/>
        <v xml:space="preserve"> </v>
      </c>
      <c r="C831" s="10" t="str">
        <f t="shared" si="48"/>
        <v xml:space="preserve"> </v>
      </c>
      <c r="D831" s="10">
        <f t="shared" si="50"/>
        <v>0</v>
      </c>
      <c r="E831" s="10">
        <f t="shared" si="51"/>
        <v>0</v>
      </c>
      <c r="W831" t="str">
        <f>IFERROR(MID(Проливка[[#This Row],[Штрихкод ]],1,FIND("-",Проливка[[#This Row],[Штрихкод ]],1)-1)," ")</f>
        <v xml:space="preserve"> </v>
      </c>
      <c r="X831" t="str">
        <f>IFERROR(RIGHT(Проливка[[#This Row],[Штрихкод ]],LEN(Проливка[[#This Row],[Штрихкод ]])-SEARCH("-",Проливка[[#This Row],[Штрихкод ]],1))," ")</f>
        <v xml:space="preserve"> </v>
      </c>
      <c r="Y831">
        <f>IFERROR(VLOOKUP(Проливка[[#This Row],[ID]]*1,'Срок хранения'!A831:B929,2,0),0)</f>
        <v>0</v>
      </c>
      <c r="Z831">
        <f>IFERROR(VLOOKUP(Проливка[[#This Row],[ID]]*1,'Срок хранения'!A831:C929,3,0),0)</f>
        <v>0</v>
      </c>
    </row>
    <row r="832" spans="1:26" x14ac:dyDescent="0.25">
      <c r="A832" s="9"/>
      <c r="B832" s="12" t="str">
        <f t="shared" si="49"/>
        <v xml:space="preserve"> </v>
      </c>
      <c r="C832" s="10" t="str">
        <f t="shared" si="48"/>
        <v xml:space="preserve"> </v>
      </c>
      <c r="D832" s="10">
        <f t="shared" si="50"/>
        <v>0</v>
      </c>
      <c r="E832" s="10">
        <f t="shared" si="51"/>
        <v>0</v>
      </c>
      <c r="W832" t="str">
        <f>IFERROR(MID(Проливка[[#This Row],[Штрихкод ]],1,FIND("-",Проливка[[#This Row],[Штрихкод ]],1)-1)," ")</f>
        <v xml:space="preserve"> </v>
      </c>
      <c r="X832" t="str">
        <f>IFERROR(RIGHT(Проливка[[#This Row],[Штрихкод ]],LEN(Проливка[[#This Row],[Штрихкод ]])-SEARCH("-",Проливка[[#This Row],[Штрихкод ]],1))," ")</f>
        <v xml:space="preserve"> </v>
      </c>
      <c r="Y832">
        <f>IFERROR(VLOOKUP(Проливка[[#This Row],[ID]]*1,'Срок хранения'!A832:B930,2,0),0)</f>
        <v>0</v>
      </c>
      <c r="Z832">
        <f>IFERROR(VLOOKUP(Проливка[[#This Row],[ID]]*1,'Срок хранения'!A832:C930,3,0),0)</f>
        <v>0</v>
      </c>
    </row>
    <row r="833" spans="1:26" x14ac:dyDescent="0.25">
      <c r="A833" s="9"/>
      <c r="B833" s="12" t="str">
        <f t="shared" si="49"/>
        <v xml:space="preserve"> </v>
      </c>
      <c r="C833" s="10" t="str">
        <f t="shared" si="48"/>
        <v xml:space="preserve"> </v>
      </c>
      <c r="D833" s="10">
        <f t="shared" si="50"/>
        <v>0</v>
      </c>
      <c r="E833" s="10">
        <f t="shared" si="51"/>
        <v>0</v>
      </c>
      <c r="W833" t="str">
        <f>IFERROR(MID(Проливка[[#This Row],[Штрихкод ]],1,FIND("-",Проливка[[#This Row],[Штрихкод ]],1)-1)," ")</f>
        <v xml:space="preserve"> </v>
      </c>
      <c r="X833" t="str">
        <f>IFERROR(RIGHT(Проливка[[#This Row],[Штрихкод ]],LEN(Проливка[[#This Row],[Штрихкод ]])-SEARCH("-",Проливка[[#This Row],[Штрихкод ]],1))," ")</f>
        <v xml:space="preserve"> </v>
      </c>
      <c r="Y833">
        <f>IFERROR(VLOOKUP(Проливка[[#This Row],[ID]]*1,'Срок хранения'!A833:B931,2,0),0)</f>
        <v>0</v>
      </c>
      <c r="Z833">
        <f>IFERROR(VLOOKUP(Проливка[[#This Row],[ID]]*1,'Срок хранения'!A833:C931,3,0),0)</f>
        <v>0</v>
      </c>
    </row>
    <row r="834" spans="1:26" x14ac:dyDescent="0.25">
      <c r="A834" s="9"/>
      <c r="B834" s="12" t="str">
        <f t="shared" si="49"/>
        <v xml:space="preserve"> </v>
      </c>
      <c r="C834" s="10" t="str">
        <f t="shared" ref="C834:C897" si="52">X834</f>
        <v xml:space="preserve"> </v>
      </c>
      <c r="D834" s="10">
        <f t="shared" si="50"/>
        <v>0</v>
      </c>
      <c r="E834" s="10">
        <f t="shared" si="51"/>
        <v>0</v>
      </c>
      <c r="W834" t="str">
        <f>IFERROR(MID(Проливка[[#This Row],[Штрихкод ]],1,FIND("-",Проливка[[#This Row],[Штрихкод ]],1)-1)," ")</f>
        <v xml:space="preserve"> </v>
      </c>
      <c r="X834" t="str">
        <f>IFERROR(RIGHT(Проливка[[#This Row],[Штрихкод ]],LEN(Проливка[[#This Row],[Штрихкод ]])-SEARCH("-",Проливка[[#This Row],[Штрихкод ]],1))," ")</f>
        <v xml:space="preserve"> </v>
      </c>
      <c r="Y834">
        <f>IFERROR(VLOOKUP(Проливка[[#This Row],[ID]]*1,'Срок хранения'!A834:B932,2,0),0)</f>
        <v>0</v>
      </c>
      <c r="Z834">
        <f>IFERROR(VLOOKUP(Проливка[[#This Row],[ID]]*1,'Срок хранения'!A834:C932,3,0),0)</f>
        <v>0</v>
      </c>
    </row>
    <row r="835" spans="1:26" x14ac:dyDescent="0.25">
      <c r="A835" s="9"/>
      <c r="B835" s="12" t="str">
        <f t="shared" ref="B835:B898" si="53">W835</f>
        <v xml:space="preserve"> </v>
      </c>
      <c r="C835" s="10" t="str">
        <f t="shared" si="52"/>
        <v xml:space="preserve"> </v>
      </c>
      <c r="D835" s="10">
        <f t="shared" ref="D835:D898" si="54">Y835</f>
        <v>0</v>
      </c>
      <c r="E835" s="10">
        <f t="shared" ref="E835:E898" si="55">Z835</f>
        <v>0</v>
      </c>
      <c r="W835" t="str">
        <f>IFERROR(MID(Проливка[[#This Row],[Штрихкод ]],1,FIND("-",Проливка[[#This Row],[Штрихкод ]],1)-1)," ")</f>
        <v xml:space="preserve"> </v>
      </c>
      <c r="X835" t="str">
        <f>IFERROR(RIGHT(Проливка[[#This Row],[Штрихкод ]],LEN(Проливка[[#This Row],[Штрихкод ]])-SEARCH("-",Проливка[[#This Row],[Штрихкод ]],1))," ")</f>
        <v xml:space="preserve"> </v>
      </c>
      <c r="Y835">
        <f>IFERROR(VLOOKUP(Проливка[[#This Row],[ID]]*1,'Срок хранения'!A835:B933,2,0),0)</f>
        <v>0</v>
      </c>
      <c r="Z835">
        <f>IFERROR(VLOOKUP(Проливка[[#This Row],[ID]]*1,'Срок хранения'!A835:C933,3,0),0)</f>
        <v>0</v>
      </c>
    </row>
    <row r="836" spans="1:26" x14ac:dyDescent="0.25">
      <c r="A836" s="9"/>
      <c r="B836" s="12" t="str">
        <f t="shared" si="53"/>
        <v xml:space="preserve"> </v>
      </c>
      <c r="C836" s="10" t="str">
        <f t="shared" si="52"/>
        <v xml:space="preserve"> </v>
      </c>
      <c r="D836" s="10">
        <f t="shared" si="54"/>
        <v>0</v>
      </c>
      <c r="E836" s="10">
        <f t="shared" si="55"/>
        <v>0</v>
      </c>
      <c r="W836" t="str">
        <f>IFERROR(MID(Проливка[[#This Row],[Штрихкод ]],1,FIND("-",Проливка[[#This Row],[Штрихкод ]],1)-1)," ")</f>
        <v xml:space="preserve"> </v>
      </c>
      <c r="X836" t="str">
        <f>IFERROR(RIGHT(Проливка[[#This Row],[Штрихкод ]],LEN(Проливка[[#This Row],[Штрихкод ]])-SEARCH("-",Проливка[[#This Row],[Штрихкод ]],1))," ")</f>
        <v xml:space="preserve"> </v>
      </c>
      <c r="Y836">
        <f>IFERROR(VLOOKUP(Проливка[[#This Row],[ID]]*1,'Срок хранения'!A836:B934,2,0),0)</f>
        <v>0</v>
      </c>
      <c r="Z836">
        <f>IFERROR(VLOOKUP(Проливка[[#This Row],[ID]]*1,'Срок хранения'!A836:C934,3,0),0)</f>
        <v>0</v>
      </c>
    </row>
    <row r="837" spans="1:26" x14ac:dyDescent="0.25">
      <c r="A837" s="9"/>
      <c r="B837" s="12" t="str">
        <f t="shared" si="53"/>
        <v xml:space="preserve"> </v>
      </c>
      <c r="C837" s="10" t="str">
        <f t="shared" si="52"/>
        <v xml:space="preserve"> </v>
      </c>
      <c r="D837" s="10">
        <f t="shared" si="54"/>
        <v>0</v>
      </c>
      <c r="E837" s="10">
        <f t="shared" si="55"/>
        <v>0</v>
      </c>
      <c r="W837" t="str">
        <f>IFERROR(MID(Проливка[[#This Row],[Штрихкод ]],1,FIND("-",Проливка[[#This Row],[Штрихкод ]],1)-1)," ")</f>
        <v xml:space="preserve"> </v>
      </c>
      <c r="X837" t="str">
        <f>IFERROR(RIGHT(Проливка[[#This Row],[Штрихкод ]],LEN(Проливка[[#This Row],[Штрихкод ]])-SEARCH("-",Проливка[[#This Row],[Штрихкод ]],1))," ")</f>
        <v xml:space="preserve"> </v>
      </c>
      <c r="Y837">
        <f>IFERROR(VLOOKUP(Проливка[[#This Row],[ID]]*1,'Срок хранения'!A837:B935,2,0),0)</f>
        <v>0</v>
      </c>
      <c r="Z837">
        <f>IFERROR(VLOOKUP(Проливка[[#This Row],[ID]]*1,'Срок хранения'!A837:C935,3,0),0)</f>
        <v>0</v>
      </c>
    </row>
    <row r="838" spans="1:26" x14ac:dyDescent="0.25">
      <c r="A838" s="9"/>
      <c r="B838" s="12" t="str">
        <f t="shared" si="53"/>
        <v xml:space="preserve"> </v>
      </c>
      <c r="C838" s="10" t="str">
        <f t="shared" si="52"/>
        <v xml:space="preserve"> </v>
      </c>
      <c r="D838" s="10">
        <f t="shared" si="54"/>
        <v>0</v>
      </c>
      <c r="E838" s="10">
        <f t="shared" si="55"/>
        <v>0</v>
      </c>
      <c r="W838" t="str">
        <f>IFERROR(MID(Проливка[[#This Row],[Штрихкод ]],1,FIND("-",Проливка[[#This Row],[Штрихкод ]],1)-1)," ")</f>
        <v xml:space="preserve"> </v>
      </c>
      <c r="X838" t="str">
        <f>IFERROR(RIGHT(Проливка[[#This Row],[Штрихкод ]],LEN(Проливка[[#This Row],[Штрихкод ]])-SEARCH("-",Проливка[[#This Row],[Штрихкод ]],1))," ")</f>
        <v xml:space="preserve"> </v>
      </c>
      <c r="Y838">
        <f>IFERROR(VLOOKUP(Проливка[[#This Row],[ID]]*1,'Срок хранения'!A838:B936,2,0),0)</f>
        <v>0</v>
      </c>
      <c r="Z838">
        <f>IFERROR(VLOOKUP(Проливка[[#This Row],[ID]]*1,'Срок хранения'!A838:C936,3,0),0)</f>
        <v>0</v>
      </c>
    </row>
    <row r="839" spans="1:26" x14ac:dyDescent="0.25">
      <c r="A839" s="9"/>
      <c r="B839" s="12" t="str">
        <f t="shared" si="53"/>
        <v xml:space="preserve"> </v>
      </c>
      <c r="C839" s="10" t="str">
        <f t="shared" si="52"/>
        <v xml:space="preserve"> </v>
      </c>
      <c r="D839" s="10">
        <f t="shared" si="54"/>
        <v>0</v>
      </c>
      <c r="E839" s="10">
        <f t="shared" si="55"/>
        <v>0</v>
      </c>
      <c r="W839" t="str">
        <f>IFERROR(MID(Проливка[[#This Row],[Штрихкод ]],1,FIND("-",Проливка[[#This Row],[Штрихкод ]],1)-1)," ")</f>
        <v xml:space="preserve"> </v>
      </c>
      <c r="X839" t="str">
        <f>IFERROR(RIGHT(Проливка[[#This Row],[Штрихкод ]],LEN(Проливка[[#This Row],[Штрихкод ]])-SEARCH("-",Проливка[[#This Row],[Штрихкод ]],1))," ")</f>
        <v xml:space="preserve"> </v>
      </c>
      <c r="Y839">
        <f>IFERROR(VLOOKUP(Проливка[[#This Row],[ID]]*1,'Срок хранения'!A839:B937,2,0),0)</f>
        <v>0</v>
      </c>
      <c r="Z839">
        <f>IFERROR(VLOOKUP(Проливка[[#This Row],[ID]]*1,'Срок хранения'!A839:C937,3,0),0)</f>
        <v>0</v>
      </c>
    </row>
    <row r="840" spans="1:26" x14ac:dyDescent="0.25">
      <c r="A840" s="9"/>
      <c r="B840" s="12" t="str">
        <f t="shared" si="53"/>
        <v xml:space="preserve"> </v>
      </c>
      <c r="C840" s="10" t="str">
        <f t="shared" si="52"/>
        <v xml:space="preserve"> </v>
      </c>
      <c r="D840" s="10">
        <f t="shared" si="54"/>
        <v>0</v>
      </c>
      <c r="E840" s="10">
        <f t="shared" si="55"/>
        <v>0</v>
      </c>
      <c r="W840" t="str">
        <f>IFERROR(MID(Проливка[[#This Row],[Штрихкод ]],1,FIND("-",Проливка[[#This Row],[Штрихкод ]],1)-1)," ")</f>
        <v xml:space="preserve"> </v>
      </c>
      <c r="X840" t="str">
        <f>IFERROR(RIGHT(Проливка[[#This Row],[Штрихкод ]],LEN(Проливка[[#This Row],[Штрихкод ]])-SEARCH("-",Проливка[[#This Row],[Штрихкод ]],1))," ")</f>
        <v xml:space="preserve"> </v>
      </c>
      <c r="Y840">
        <f>IFERROR(VLOOKUP(Проливка[[#This Row],[ID]]*1,'Срок хранения'!A840:B938,2,0),0)</f>
        <v>0</v>
      </c>
      <c r="Z840">
        <f>IFERROR(VLOOKUP(Проливка[[#This Row],[ID]]*1,'Срок хранения'!A840:C938,3,0),0)</f>
        <v>0</v>
      </c>
    </row>
    <row r="841" spans="1:26" x14ac:dyDescent="0.25">
      <c r="A841" s="9"/>
      <c r="B841" s="12" t="str">
        <f t="shared" si="53"/>
        <v xml:space="preserve"> </v>
      </c>
      <c r="C841" s="10" t="str">
        <f t="shared" si="52"/>
        <v xml:space="preserve"> </v>
      </c>
      <c r="D841" s="10">
        <f t="shared" si="54"/>
        <v>0</v>
      </c>
      <c r="E841" s="10">
        <f t="shared" si="55"/>
        <v>0</v>
      </c>
      <c r="W841" t="str">
        <f>IFERROR(MID(Проливка[[#This Row],[Штрихкод ]],1,FIND("-",Проливка[[#This Row],[Штрихкод ]],1)-1)," ")</f>
        <v xml:space="preserve"> </v>
      </c>
      <c r="X841" t="str">
        <f>IFERROR(RIGHT(Проливка[[#This Row],[Штрихкод ]],LEN(Проливка[[#This Row],[Штрихкод ]])-SEARCH("-",Проливка[[#This Row],[Штрихкод ]],1))," ")</f>
        <v xml:space="preserve"> </v>
      </c>
      <c r="Y841">
        <f>IFERROR(VLOOKUP(Проливка[[#This Row],[ID]]*1,'Срок хранения'!A841:B939,2,0),0)</f>
        <v>0</v>
      </c>
      <c r="Z841">
        <f>IFERROR(VLOOKUP(Проливка[[#This Row],[ID]]*1,'Срок хранения'!A841:C939,3,0),0)</f>
        <v>0</v>
      </c>
    </row>
    <row r="842" spans="1:26" x14ac:dyDescent="0.25">
      <c r="A842" s="9"/>
      <c r="B842" s="12" t="str">
        <f t="shared" si="53"/>
        <v xml:space="preserve"> </v>
      </c>
      <c r="C842" s="10" t="str">
        <f t="shared" si="52"/>
        <v xml:space="preserve"> </v>
      </c>
      <c r="D842" s="10">
        <f t="shared" si="54"/>
        <v>0</v>
      </c>
      <c r="E842" s="10">
        <f t="shared" si="55"/>
        <v>0</v>
      </c>
      <c r="W842" t="str">
        <f>IFERROR(MID(Проливка[[#This Row],[Штрихкод ]],1,FIND("-",Проливка[[#This Row],[Штрихкод ]],1)-1)," ")</f>
        <v xml:space="preserve"> </v>
      </c>
      <c r="X842" t="str">
        <f>IFERROR(RIGHT(Проливка[[#This Row],[Штрихкод ]],LEN(Проливка[[#This Row],[Штрихкод ]])-SEARCH("-",Проливка[[#This Row],[Штрихкод ]],1))," ")</f>
        <v xml:space="preserve"> </v>
      </c>
      <c r="Y842">
        <f>IFERROR(VLOOKUP(Проливка[[#This Row],[ID]]*1,'Срок хранения'!A842:B940,2,0),0)</f>
        <v>0</v>
      </c>
      <c r="Z842">
        <f>IFERROR(VLOOKUP(Проливка[[#This Row],[ID]]*1,'Срок хранения'!A842:C940,3,0),0)</f>
        <v>0</v>
      </c>
    </row>
    <row r="843" spans="1:26" x14ac:dyDescent="0.25">
      <c r="A843" s="9"/>
      <c r="B843" s="12" t="str">
        <f t="shared" si="53"/>
        <v xml:space="preserve"> </v>
      </c>
      <c r="C843" s="10" t="str">
        <f t="shared" si="52"/>
        <v xml:space="preserve"> </v>
      </c>
      <c r="D843" s="10">
        <f t="shared" si="54"/>
        <v>0</v>
      </c>
      <c r="E843" s="10">
        <f t="shared" si="55"/>
        <v>0</v>
      </c>
      <c r="W843" t="str">
        <f>IFERROR(MID(Проливка[[#This Row],[Штрихкод ]],1,FIND("-",Проливка[[#This Row],[Штрихкод ]],1)-1)," ")</f>
        <v xml:space="preserve"> </v>
      </c>
      <c r="X843" t="str">
        <f>IFERROR(RIGHT(Проливка[[#This Row],[Штрихкод ]],LEN(Проливка[[#This Row],[Штрихкод ]])-SEARCH("-",Проливка[[#This Row],[Штрихкод ]],1))," ")</f>
        <v xml:space="preserve"> </v>
      </c>
      <c r="Y843">
        <f>IFERROR(VLOOKUP(Проливка[[#This Row],[ID]]*1,'Срок хранения'!A843:B941,2,0),0)</f>
        <v>0</v>
      </c>
      <c r="Z843">
        <f>IFERROR(VLOOKUP(Проливка[[#This Row],[ID]]*1,'Срок хранения'!A843:C941,3,0),0)</f>
        <v>0</v>
      </c>
    </row>
    <row r="844" spans="1:26" x14ac:dyDescent="0.25">
      <c r="A844" s="9"/>
      <c r="B844" s="12" t="str">
        <f t="shared" si="53"/>
        <v xml:space="preserve"> </v>
      </c>
      <c r="C844" s="10" t="str">
        <f t="shared" si="52"/>
        <v xml:space="preserve"> </v>
      </c>
      <c r="D844" s="10">
        <f t="shared" si="54"/>
        <v>0</v>
      </c>
      <c r="E844" s="10">
        <f t="shared" si="55"/>
        <v>0</v>
      </c>
      <c r="W844" t="str">
        <f>IFERROR(MID(Проливка[[#This Row],[Штрихкод ]],1,FIND("-",Проливка[[#This Row],[Штрихкод ]],1)-1)," ")</f>
        <v xml:space="preserve"> </v>
      </c>
      <c r="X844" t="str">
        <f>IFERROR(RIGHT(Проливка[[#This Row],[Штрихкод ]],LEN(Проливка[[#This Row],[Штрихкод ]])-SEARCH("-",Проливка[[#This Row],[Штрихкод ]],1))," ")</f>
        <v xml:space="preserve"> </v>
      </c>
      <c r="Y844">
        <f>IFERROR(VLOOKUP(Проливка[[#This Row],[ID]]*1,'Срок хранения'!A844:B942,2,0),0)</f>
        <v>0</v>
      </c>
      <c r="Z844">
        <f>IFERROR(VLOOKUP(Проливка[[#This Row],[ID]]*1,'Срок хранения'!A844:C942,3,0),0)</f>
        <v>0</v>
      </c>
    </row>
    <row r="845" spans="1:26" x14ac:dyDescent="0.25">
      <c r="A845" s="9"/>
      <c r="B845" s="12" t="str">
        <f t="shared" si="53"/>
        <v xml:space="preserve"> </v>
      </c>
      <c r="C845" s="10" t="str">
        <f t="shared" si="52"/>
        <v xml:space="preserve"> </v>
      </c>
      <c r="D845" s="10">
        <f t="shared" si="54"/>
        <v>0</v>
      </c>
      <c r="E845" s="10">
        <f t="shared" si="55"/>
        <v>0</v>
      </c>
      <c r="W845" t="str">
        <f>IFERROR(MID(Проливка[[#This Row],[Штрихкод ]],1,FIND("-",Проливка[[#This Row],[Штрихкод ]],1)-1)," ")</f>
        <v xml:space="preserve"> </v>
      </c>
      <c r="X845" t="str">
        <f>IFERROR(RIGHT(Проливка[[#This Row],[Штрихкод ]],LEN(Проливка[[#This Row],[Штрихкод ]])-SEARCH("-",Проливка[[#This Row],[Штрихкод ]],1))," ")</f>
        <v xml:space="preserve"> </v>
      </c>
      <c r="Y845">
        <f>IFERROR(VLOOKUP(Проливка[[#This Row],[ID]]*1,'Срок хранения'!A845:B943,2,0),0)</f>
        <v>0</v>
      </c>
      <c r="Z845">
        <f>IFERROR(VLOOKUP(Проливка[[#This Row],[ID]]*1,'Срок хранения'!A845:C943,3,0),0)</f>
        <v>0</v>
      </c>
    </row>
    <row r="846" spans="1:26" x14ac:dyDescent="0.25">
      <c r="A846" s="9"/>
      <c r="B846" s="12" t="str">
        <f t="shared" si="53"/>
        <v xml:space="preserve"> </v>
      </c>
      <c r="C846" s="10" t="str">
        <f t="shared" si="52"/>
        <v xml:space="preserve"> </v>
      </c>
      <c r="D846" s="10">
        <f t="shared" si="54"/>
        <v>0</v>
      </c>
      <c r="E846" s="10">
        <f t="shared" si="55"/>
        <v>0</v>
      </c>
      <c r="W846" t="str">
        <f>IFERROR(MID(Проливка[[#This Row],[Штрихкод ]],1,FIND("-",Проливка[[#This Row],[Штрихкод ]],1)-1)," ")</f>
        <v xml:space="preserve"> </v>
      </c>
      <c r="X846" t="str">
        <f>IFERROR(RIGHT(Проливка[[#This Row],[Штрихкод ]],LEN(Проливка[[#This Row],[Штрихкод ]])-SEARCH("-",Проливка[[#This Row],[Штрихкод ]],1))," ")</f>
        <v xml:space="preserve"> </v>
      </c>
      <c r="Y846">
        <f>IFERROR(VLOOKUP(Проливка[[#This Row],[ID]]*1,'Срок хранения'!A846:B944,2,0),0)</f>
        <v>0</v>
      </c>
      <c r="Z846">
        <f>IFERROR(VLOOKUP(Проливка[[#This Row],[ID]]*1,'Срок хранения'!A846:C944,3,0),0)</f>
        <v>0</v>
      </c>
    </row>
    <row r="847" spans="1:26" x14ac:dyDescent="0.25">
      <c r="A847" s="9"/>
      <c r="B847" s="12" t="str">
        <f t="shared" si="53"/>
        <v xml:space="preserve"> </v>
      </c>
      <c r="C847" s="10" t="str">
        <f t="shared" si="52"/>
        <v xml:space="preserve"> </v>
      </c>
      <c r="D847" s="10">
        <f t="shared" si="54"/>
        <v>0</v>
      </c>
      <c r="E847" s="10">
        <f t="shared" si="55"/>
        <v>0</v>
      </c>
      <c r="W847" t="str">
        <f>IFERROR(MID(Проливка[[#This Row],[Штрихкод ]],1,FIND("-",Проливка[[#This Row],[Штрихкод ]],1)-1)," ")</f>
        <v xml:space="preserve"> </v>
      </c>
      <c r="X847" t="str">
        <f>IFERROR(RIGHT(Проливка[[#This Row],[Штрихкод ]],LEN(Проливка[[#This Row],[Штрихкод ]])-SEARCH("-",Проливка[[#This Row],[Штрихкод ]],1))," ")</f>
        <v xml:space="preserve"> </v>
      </c>
      <c r="Y847">
        <f>IFERROR(VLOOKUP(Проливка[[#This Row],[ID]]*1,'Срок хранения'!A847:B945,2,0),0)</f>
        <v>0</v>
      </c>
      <c r="Z847">
        <f>IFERROR(VLOOKUP(Проливка[[#This Row],[ID]]*1,'Срок хранения'!A847:C945,3,0),0)</f>
        <v>0</v>
      </c>
    </row>
    <row r="848" spans="1:26" x14ac:dyDescent="0.25">
      <c r="A848" s="9"/>
      <c r="B848" s="12" t="str">
        <f t="shared" si="53"/>
        <v xml:space="preserve"> </v>
      </c>
      <c r="C848" s="10" t="str">
        <f t="shared" si="52"/>
        <v xml:space="preserve"> </v>
      </c>
      <c r="D848" s="10">
        <f t="shared" si="54"/>
        <v>0</v>
      </c>
      <c r="E848" s="10">
        <f t="shared" si="55"/>
        <v>0</v>
      </c>
      <c r="W848" t="str">
        <f>IFERROR(MID(Проливка[[#This Row],[Штрихкод ]],1,FIND("-",Проливка[[#This Row],[Штрихкод ]],1)-1)," ")</f>
        <v xml:space="preserve"> </v>
      </c>
      <c r="X848" t="str">
        <f>IFERROR(RIGHT(Проливка[[#This Row],[Штрихкод ]],LEN(Проливка[[#This Row],[Штрихкод ]])-SEARCH("-",Проливка[[#This Row],[Штрихкод ]],1))," ")</f>
        <v xml:space="preserve"> </v>
      </c>
      <c r="Y848">
        <f>IFERROR(VLOOKUP(Проливка[[#This Row],[ID]]*1,'Срок хранения'!A848:B946,2,0),0)</f>
        <v>0</v>
      </c>
      <c r="Z848">
        <f>IFERROR(VLOOKUP(Проливка[[#This Row],[ID]]*1,'Срок хранения'!A848:C946,3,0),0)</f>
        <v>0</v>
      </c>
    </row>
    <row r="849" spans="1:26" x14ac:dyDescent="0.25">
      <c r="A849" s="9"/>
      <c r="B849" s="12" t="str">
        <f t="shared" si="53"/>
        <v xml:space="preserve"> </v>
      </c>
      <c r="C849" s="10" t="str">
        <f t="shared" si="52"/>
        <v xml:space="preserve"> </v>
      </c>
      <c r="D849" s="10">
        <f t="shared" si="54"/>
        <v>0</v>
      </c>
      <c r="E849" s="10">
        <f t="shared" si="55"/>
        <v>0</v>
      </c>
      <c r="W849" t="str">
        <f>IFERROR(MID(Проливка[[#This Row],[Штрихкод ]],1,FIND("-",Проливка[[#This Row],[Штрихкод ]],1)-1)," ")</f>
        <v xml:space="preserve"> </v>
      </c>
      <c r="X849" t="str">
        <f>IFERROR(RIGHT(Проливка[[#This Row],[Штрихкод ]],LEN(Проливка[[#This Row],[Штрихкод ]])-SEARCH("-",Проливка[[#This Row],[Штрихкод ]],1))," ")</f>
        <v xml:space="preserve"> </v>
      </c>
      <c r="Y849">
        <f>IFERROR(VLOOKUP(Проливка[[#This Row],[ID]]*1,'Срок хранения'!A849:B947,2,0),0)</f>
        <v>0</v>
      </c>
      <c r="Z849">
        <f>IFERROR(VLOOKUP(Проливка[[#This Row],[ID]]*1,'Срок хранения'!A849:C947,3,0),0)</f>
        <v>0</v>
      </c>
    </row>
    <row r="850" spans="1:26" x14ac:dyDescent="0.25">
      <c r="A850" s="9"/>
      <c r="B850" s="12" t="str">
        <f t="shared" si="53"/>
        <v xml:space="preserve"> </v>
      </c>
      <c r="C850" s="10" t="str">
        <f t="shared" si="52"/>
        <v xml:space="preserve"> </v>
      </c>
      <c r="D850" s="10">
        <f t="shared" si="54"/>
        <v>0</v>
      </c>
      <c r="E850" s="10">
        <f t="shared" si="55"/>
        <v>0</v>
      </c>
      <c r="W850" t="str">
        <f>IFERROR(MID(Проливка[[#This Row],[Штрихкод ]],1,FIND("-",Проливка[[#This Row],[Штрихкод ]],1)-1)," ")</f>
        <v xml:space="preserve"> </v>
      </c>
      <c r="X850" t="str">
        <f>IFERROR(RIGHT(Проливка[[#This Row],[Штрихкод ]],LEN(Проливка[[#This Row],[Штрихкод ]])-SEARCH("-",Проливка[[#This Row],[Штрихкод ]],1))," ")</f>
        <v xml:space="preserve"> </v>
      </c>
      <c r="Y850">
        <f>IFERROR(VLOOKUP(Проливка[[#This Row],[ID]]*1,'Срок хранения'!A850:B948,2,0),0)</f>
        <v>0</v>
      </c>
      <c r="Z850">
        <f>IFERROR(VLOOKUP(Проливка[[#This Row],[ID]]*1,'Срок хранения'!A850:C948,3,0),0)</f>
        <v>0</v>
      </c>
    </row>
    <row r="851" spans="1:26" x14ac:dyDescent="0.25">
      <c r="A851" s="9"/>
      <c r="B851" s="12" t="str">
        <f t="shared" si="53"/>
        <v xml:space="preserve"> </v>
      </c>
      <c r="C851" s="10" t="str">
        <f t="shared" si="52"/>
        <v xml:space="preserve"> </v>
      </c>
      <c r="D851" s="10">
        <f t="shared" si="54"/>
        <v>0</v>
      </c>
      <c r="E851" s="10">
        <f t="shared" si="55"/>
        <v>0</v>
      </c>
      <c r="W851" t="str">
        <f>IFERROR(MID(Проливка[[#This Row],[Штрихкод ]],1,FIND("-",Проливка[[#This Row],[Штрихкод ]],1)-1)," ")</f>
        <v xml:space="preserve"> </v>
      </c>
      <c r="X851" t="str">
        <f>IFERROR(RIGHT(Проливка[[#This Row],[Штрихкод ]],LEN(Проливка[[#This Row],[Штрихкод ]])-SEARCH("-",Проливка[[#This Row],[Штрихкод ]],1))," ")</f>
        <v xml:space="preserve"> </v>
      </c>
      <c r="Y851">
        <f>IFERROR(VLOOKUP(Проливка[[#This Row],[ID]]*1,'Срок хранения'!A851:B949,2,0),0)</f>
        <v>0</v>
      </c>
      <c r="Z851">
        <f>IFERROR(VLOOKUP(Проливка[[#This Row],[ID]]*1,'Срок хранения'!A851:C949,3,0),0)</f>
        <v>0</v>
      </c>
    </row>
    <row r="852" spans="1:26" x14ac:dyDescent="0.25">
      <c r="A852" s="9"/>
      <c r="B852" s="12" t="str">
        <f t="shared" si="53"/>
        <v xml:space="preserve"> </v>
      </c>
      <c r="C852" s="10" t="str">
        <f t="shared" si="52"/>
        <v xml:space="preserve"> </v>
      </c>
      <c r="D852" s="10">
        <f t="shared" si="54"/>
        <v>0</v>
      </c>
      <c r="E852" s="10">
        <f t="shared" si="55"/>
        <v>0</v>
      </c>
      <c r="W852" t="str">
        <f>IFERROR(MID(Проливка[[#This Row],[Штрихкод ]],1,FIND("-",Проливка[[#This Row],[Штрихкод ]],1)-1)," ")</f>
        <v xml:space="preserve"> </v>
      </c>
      <c r="X852" t="str">
        <f>IFERROR(RIGHT(Проливка[[#This Row],[Штрихкод ]],LEN(Проливка[[#This Row],[Штрихкод ]])-SEARCH("-",Проливка[[#This Row],[Штрихкод ]],1))," ")</f>
        <v xml:space="preserve"> </v>
      </c>
      <c r="Y852">
        <f>IFERROR(VLOOKUP(Проливка[[#This Row],[ID]]*1,'Срок хранения'!A852:B950,2,0),0)</f>
        <v>0</v>
      </c>
      <c r="Z852">
        <f>IFERROR(VLOOKUP(Проливка[[#This Row],[ID]]*1,'Срок хранения'!A852:C950,3,0),0)</f>
        <v>0</v>
      </c>
    </row>
    <row r="853" spans="1:26" x14ac:dyDescent="0.25">
      <c r="A853" s="9"/>
      <c r="B853" s="12" t="str">
        <f t="shared" si="53"/>
        <v xml:space="preserve"> </v>
      </c>
      <c r="C853" s="10" t="str">
        <f t="shared" si="52"/>
        <v xml:space="preserve"> </v>
      </c>
      <c r="D853" s="10">
        <f t="shared" si="54"/>
        <v>0</v>
      </c>
      <c r="E853" s="10">
        <f t="shared" si="55"/>
        <v>0</v>
      </c>
      <c r="W853" t="str">
        <f>IFERROR(MID(Проливка[[#This Row],[Штрихкод ]],1,FIND("-",Проливка[[#This Row],[Штрихкод ]],1)-1)," ")</f>
        <v xml:space="preserve"> </v>
      </c>
      <c r="X853" t="str">
        <f>IFERROR(RIGHT(Проливка[[#This Row],[Штрихкод ]],LEN(Проливка[[#This Row],[Штрихкод ]])-SEARCH("-",Проливка[[#This Row],[Штрихкод ]],1))," ")</f>
        <v xml:space="preserve"> </v>
      </c>
      <c r="Y853">
        <f>IFERROR(VLOOKUP(Проливка[[#This Row],[ID]]*1,'Срок хранения'!A853:B951,2,0),0)</f>
        <v>0</v>
      </c>
      <c r="Z853">
        <f>IFERROR(VLOOKUP(Проливка[[#This Row],[ID]]*1,'Срок хранения'!A853:C951,3,0),0)</f>
        <v>0</v>
      </c>
    </row>
    <row r="854" spans="1:26" x14ac:dyDescent="0.25">
      <c r="A854" s="9"/>
      <c r="B854" s="12" t="str">
        <f t="shared" si="53"/>
        <v xml:space="preserve"> </v>
      </c>
      <c r="C854" s="10" t="str">
        <f t="shared" si="52"/>
        <v xml:space="preserve"> </v>
      </c>
      <c r="D854" s="10">
        <f t="shared" si="54"/>
        <v>0</v>
      </c>
      <c r="E854" s="10">
        <f t="shared" si="55"/>
        <v>0</v>
      </c>
      <c r="W854" t="str">
        <f>IFERROR(MID(Проливка[[#This Row],[Штрихкод ]],1,FIND("-",Проливка[[#This Row],[Штрихкод ]],1)-1)," ")</f>
        <v xml:space="preserve"> </v>
      </c>
      <c r="X854" t="str">
        <f>IFERROR(RIGHT(Проливка[[#This Row],[Штрихкод ]],LEN(Проливка[[#This Row],[Штрихкод ]])-SEARCH("-",Проливка[[#This Row],[Штрихкод ]],1))," ")</f>
        <v xml:space="preserve"> </v>
      </c>
      <c r="Y854">
        <f>IFERROR(VLOOKUP(Проливка[[#This Row],[ID]]*1,'Срок хранения'!A854:B952,2,0),0)</f>
        <v>0</v>
      </c>
      <c r="Z854">
        <f>IFERROR(VLOOKUP(Проливка[[#This Row],[ID]]*1,'Срок хранения'!A854:C952,3,0),0)</f>
        <v>0</v>
      </c>
    </row>
    <row r="855" spans="1:26" x14ac:dyDescent="0.25">
      <c r="A855" s="9"/>
      <c r="B855" s="12" t="str">
        <f t="shared" si="53"/>
        <v xml:space="preserve"> </v>
      </c>
      <c r="C855" s="10" t="str">
        <f t="shared" si="52"/>
        <v xml:space="preserve"> </v>
      </c>
      <c r="D855" s="10">
        <f t="shared" si="54"/>
        <v>0</v>
      </c>
      <c r="E855" s="10">
        <f t="shared" si="55"/>
        <v>0</v>
      </c>
      <c r="W855" t="str">
        <f>IFERROR(MID(Проливка[[#This Row],[Штрихкод ]],1,FIND("-",Проливка[[#This Row],[Штрихкод ]],1)-1)," ")</f>
        <v xml:space="preserve"> </v>
      </c>
      <c r="X855" t="str">
        <f>IFERROR(RIGHT(Проливка[[#This Row],[Штрихкод ]],LEN(Проливка[[#This Row],[Штрихкод ]])-SEARCH("-",Проливка[[#This Row],[Штрихкод ]],1))," ")</f>
        <v xml:space="preserve"> </v>
      </c>
      <c r="Y855">
        <f>IFERROR(VLOOKUP(Проливка[[#This Row],[ID]]*1,'Срок хранения'!A855:B953,2,0),0)</f>
        <v>0</v>
      </c>
      <c r="Z855">
        <f>IFERROR(VLOOKUP(Проливка[[#This Row],[ID]]*1,'Срок хранения'!A855:C953,3,0),0)</f>
        <v>0</v>
      </c>
    </row>
    <row r="856" spans="1:26" x14ac:dyDescent="0.25">
      <c r="A856" s="9"/>
      <c r="B856" s="12" t="str">
        <f t="shared" si="53"/>
        <v xml:space="preserve"> </v>
      </c>
      <c r="C856" s="10" t="str">
        <f t="shared" si="52"/>
        <v xml:space="preserve"> </v>
      </c>
      <c r="D856" s="10">
        <f t="shared" si="54"/>
        <v>0</v>
      </c>
      <c r="E856" s="10">
        <f t="shared" si="55"/>
        <v>0</v>
      </c>
      <c r="W856" t="str">
        <f>IFERROR(MID(Проливка[[#This Row],[Штрихкод ]],1,FIND("-",Проливка[[#This Row],[Штрихкод ]],1)-1)," ")</f>
        <v xml:space="preserve"> </v>
      </c>
      <c r="X856" t="str">
        <f>IFERROR(RIGHT(Проливка[[#This Row],[Штрихкод ]],LEN(Проливка[[#This Row],[Штрихкод ]])-SEARCH("-",Проливка[[#This Row],[Штрихкод ]],1))," ")</f>
        <v xml:space="preserve"> </v>
      </c>
      <c r="Y856">
        <f>IFERROR(VLOOKUP(Проливка[[#This Row],[ID]]*1,'Срок хранения'!A856:B954,2,0),0)</f>
        <v>0</v>
      </c>
      <c r="Z856">
        <f>IFERROR(VLOOKUP(Проливка[[#This Row],[ID]]*1,'Срок хранения'!A856:C954,3,0),0)</f>
        <v>0</v>
      </c>
    </row>
    <row r="857" spans="1:26" x14ac:dyDescent="0.25">
      <c r="A857" s="9"/>
      <c r="B857" s="12" t="str">
        <f t="shared" si="53"/>
        <v xml:space="preserve"> </v>
      </c>
      <c r="C857" s="10" t="str">
        <f t="shared" si="52"/>
        <v xml:space="preserve"> </v>
      </c>
      <c r="D857" s="10">
        <f t="shared" si="54"/>
        <v>0</v>
      </c>
      <c r="E857" s="10">
        <f t="shared" si="55"/>
        <v>0</v>
      </c>
      <c r="W857" t="str">
        <f>IFERROR(MID(Проливка[[#This Row],[Штрихкод ]],1,FIND("-",Проливка[[#This Row],[Штрихкод ]],1)-1)," ")</f>
        <v xml:space="preserve"> </v>
      </c>
      <c r="X857" t="str">
        <f>IFERROR(RIGHT(Проливка[[#This Row],[Штрихкод ]],LEN(Проливка[[#This Row],[Штрихкод ]])-SEARCH("-",Проливка[[#This Row],[Штрихкод ]],1))," ")</f>
        <v xml:space="preserve"> </v>
      </c>
      <c r="Y857">
        <f>IFERROR(VLOOKUP(Проливка[[#This Row],[ID]]*1,'Срок хранения'!A857:B955,2,0),0)</f>
        <v>0</v>
      </c>
      <c r="Z857">
        <f>IFERROR(VLOOKUP(Проливка[[#This Row],[ID]]*1,'Срок хранения'!A857:C955,3,0),0)</f>
        <v>0</v>
      </c>
    </row>
    <row r="858" spans="1:26" x14ac:dyDescent="0.25">
      <c r="A858" s="9"/>
      <c r="B858" s="12" t="str">
        <f t="shared" si="53"/>
        <v xml:space="preserve"> </v>
      </c>
      <c r="C858" s="10" t="str">
        <f t="shared" si="52"/>
        <v xml:space="preserve"> </v>
      </c>
      <c r="D858" s="10">
        <f t="shared" si="54"/>
        <v>0</v>
      </c>
      <c r="E858" s="10">
        <f t="shared" si="55"/>
        <v>0</v>
      </c>
      <c r="W858" t="str">
        <f>IFERROR(MID(Проливка[[#This Row],[Штрихкод ]],1,FIND("-",Проливка[[#This Row],[Штрихкод ]],1)-1)," ")</f>
        <v xml:space="preserve"> </v>
      </c>
      <c r="X858" t="str">
        <f>IFERROR(RIGHT(Проливка[[#This Row],[Штрихкод ]],LEN(Проливка[[#This Row],[Штрихкод ]])-SEARCH("-",Проливка[[#This Row],[Штрихкод ]],1))," ")</f>
        <v xml:space="preserve"> </v>
      </c>
      <c r="Y858">
        <f>IFERROR(VLOOKUP(Проливка[[#This Row],[ID]]*1,'Срок хранения'!A858:B956,2,0),0)</f>
        <v>0</v>
      </c>
      <c r="Z858">
        <f>IFERROR(VLOOKUP(Проливка[[#This Row],[ID]]*1,'Срок хранения'!A858:C956,3,0),0)</f>
        <v>0</v>
      </c>
    </row>
    <row r="859" spans="1:26" x14ac:dyDescent="0.25">
      <c r="A859" s="9"/>
      <c r="B859" s="12" t="str">
        <f t="shared" si="53"/>
        <v xml:space="preserve"> </v>
      </c>
      <c r="C859" s="10" t="str">
        <f t="shared" si="52"/>
        <v xml:space="preserve"> </v>
      </c>
      <c r="D859" s="10">
        <f t="shared" si="54"/>
        <v>0</v>
      </c>
      <c r="E859" s="10">
        <f t="shared" si="55"/>
        <v>0</v>
      </c>
      <c r="W859" t="str">
        <f>IFERROR(MID(Проливка[[#This Row],[Штрихкод ]],1,FIND("-",Проливка[[#This Row],[Штрихкод ]],1)-1)," ")</f>
        <v xml:space="preserve"> </v>
      </c>
      <c r="X859" t="str">
        <f>IFERROR(RIGHT(Проливка[[#This Row],[Штрихкод ]],LEN(Проливка[[#This Row],[Штрихкод ]])-SEARCH("-",Проливка[[#This Row],[Штрихкод ]],1))," ")</f>
        <v xml:space="preserve"> </v>
      </c>
      <c r="Y859">
        <f>IFERROR(VLOOKUP(Проливка[[#This Row],[ID]]*1,'Срок хранения'!A859:B957,2,0),0)</f>
        <v>0</v>
      </c>
      <c r="Z859">
        <f>IFERROR(VLOOKUP(Проливка[[#This Row],[ID]]*1,'Срок хранения'!A859:C957,3,0),0)</f>
        <v>0</v>
      </c>
    </row>
    <row r="860" spans="1:26" x14ac:dyDescent="0.25">
      <c r="A860" s="9"/>
      <c r="B860" s="12" t="str">
        <f t="shared" si="53"/>
        <v xml:space="preserve"> </v>
      </c>
      <c r="C860" s="10" t="str">
        <f t="shared" si="52"/>
        <v xml:space="preserve"> </v>
      </c>
      <c r="D860" s="10">
        <f t="shared" si="54"/>
        <v>0</v>
      </c>
      <c r="E860" s="10">
        <f t="shared" si="55"/>
        <v>0</v>
      </c>
      <c r="W860" t="str">
        <f>IFERROR(MID(Проливка[[#This Row],[Штрихкод ]],1,FIND("-",Проливка[[#This Row],[Штрихкод ]],1)-1)," ")</f>
        <v xml:space="preserve"> </v>
      </c>
      <c r="X860" t="str">
        <f>IFERROR(RIGHT(Проливка[[#This Row],[Штрихкод ]],LEN(Проливка[[#This Row],[Штрихкод ]])-SEARCH("-",Проливка[[#This Row],[Штрихкод ]],1))," ")</f>
        <v xml:space="preserve"> </v>
      </c>
      <c r="Y860">
        <f>IFERROR(VLOOKUP(Проливка[[#This Row],[ID]]*1,'Срок хранения'!A860:B958,2,0),0)</f>
        <v>0</v>
      </c>
      <c r="Z860">
        <f>IFERROR(VLOOKUP(Проливка[[#This Row],[ID]]*1,'Срок хранения'!A860:C958,3,0),0)</f>
        <v>0</v>
      </c>
    </row>
    <row r="861" spans="1:26" x14ac:dyDescent="0.25">
      <c r="A861" s="9"/>
      <c r="B861" s="12" t="str">
        <f t="shared" si="53"/>
        <v xml:space="preserve"> </v>
      </c>
      <c r="C861" s="10" t="str">
        <f t="shared" si="52"/>
        <v xml:space="preserve"> </v>
      </c>
      <c r="D861" s="10">
        <f t="shared" si="54"/>
        <v>0</v>
      </c>
      <c r="E861" s="10">
        <f t="shared" si="55"/>
        <v>0</v>
      </c>
      <c r="W861" t="str">
        <f>IFERROR(MID(Проливка[[#This Row],[Штрихкод ]],1,FIND("-",Проливка[[#This Row],[Штрихкод ]],1)-1)," ")</f>
        <v xml:space="preserve"> </v>
      </c>
      <c r="X861" t="str">
        <f>IFERROR(RIGHT(Проливка[[#This Row],[Штрихкод ]],LEN(Проливка[[#This Row],[Штрихкод ]])-SEARCH("-",Проливка[[#This Row],[Штрихкод ]],1))," ")</f>
        <v xml:space="preserve"> </v>
      </c>
      <c r="Y861">
        <f>IFERROR(VLOOKUP(Проливка[[#This Row],[ID]]*1,'Срок хранения'!A861:B959,2,0),0)</f>
        <v>0</v>
      </c>
      <c r="Z861">
        <f>IFERROR(VLOOKUP(Проливка[[#This Row],[ID]]*1,'Срок хранения'!A861:C959,3,0),0)</f>
        <v>0</v>
      </c>
    </row>
    <row r="862" spans="1:26" x14ac:dyDescent="0.25">
      <c r="A862" s="9"/>
      <c r="B862" s="12" t="str">
        <f t="shared" si="53"/>
        <v xml:space="preserve"> </v>
      </c>
      <c r="C862" s="10" t="str">
        <f t="shared" si="52"/>
        <v xml:space="preserve"> </v>
      </c>
      <c r="D862" s="10">
        <f t="shared" si="54"/>
        <v>0</v>
      </c>
      <c r="E862" s="10">
        <f t="shared" si="55"/>
        <v>0</v>
      </c>
      <c r="W862" t="str">
        <f>IFERROR(MID(Проливка[[#This Row],[Штрихкод ]],1,FIND("-",Проливка[[#This Row],[Штрихкод ]],1)-1)," ")</f>
        <v xml:space="preserve"> </v>
      </c>
      <c r="X862" t="str">
        <f>IFERROR(RIGHT(Проливка[[#This Row],[Штрихкод ]],LEN(Проливка[[#This Row],[Штрихкод ]])-SEARCH("-",Проливка[[#This Row],[Штрихкод ]],1))," ")</f>
        <v xml:space="preserve"> </v>
      </c>
      <c r="Y862">
        <f>IFERROR(VLOOKUP(Проливка[[#This Row],[ID]]*1,'Срок хранения'!A862:B960,2,0),0)</f>
        <v>0</v>
      </c>
      <c r="Z862">
        <f>IFERROR(VLOOKUP(Проливка[[#This Row],[ID]]*1,'Срок хранения'!A862:C960,3,0),0)</f>
        <v>0</v>
      </c>
    </row>
    <row r="863" spans="1:26" x14ac:dyDescent="0.25">
      <c r="A863" s="9"/>
      <c r="B863" s="12" t="str">
        <f t="shared" si="53"/>
        <v xml:space="preserve"> </v>
      </c>
      <c r="C863" s="10" t="str">
        <f t="shared" si="52"/>
        <v xml:space="preserve"> </v>
      </c>
      <c r="D863" s="10">
        <f t="shared" si="54"/>
        <v>0</v>
      </c>
      <c r="E863" s="10">
        <f t="shared" si="55"/>
        <v>0</v>
      </c>
      <c r="W863" t="str">
        <f>IFERROR(MID(Проливка[[#This Row],[Штрихкод ]],1,FIND("-",Проливка[[#This Row],[Штрихкод ]],1)-1)," ")</f>
        <v xml:space="preserve"> </v>
      </c>
      <c r="X863" t="str">
        <f>IFERROR(RIGHT(Проливка[[#This Row],[Штрихкод ]],LEN(Проливка[[#This Row],[Штрихкод ]])-SEARCH("-",Проливка[[#This Row],[Штрихкод ]],1))," ")</f>
        <v xml:space="preserve"> </v>
      </c>
      <c r="Y863">
        <f>IFERROR(VLOOKUP(Проливка[[#This Row],[ID]]*1,'Срок хранения'!A863:B961,2,0),0)</f>
        <v>0</v>
      </c>
      <c r="Z863">
        <f>IFERROR(VLOOKUP(Проливка[[#This Row],[ID]]*1,'Срок хранения'!A863:C961,3,0),0)</f>
        <v>0</v>
      </c>
    </row>
    <row r="864" spans="1:26" x14ac:dyDescent="0.25">
      <c r="A864" s="9"/>
      <c r="B864" s="12" t="str">
        <f t="shared" si="53"/>
        <v xml:space="preserve"> </v>
      </c>
      <c r="C864" s="10" t="str">
        <f t="shared" si="52"/>
        <v xml:space="preserve"> </v>
      </c>
      <c r="D864" s="10">
        <f t="shared" si="54"/>
        <v>0</v>
      </c>
      <c r="E864" s="10">
        <f t="shared" si="55"/>
        <v>0</v>
      </c>
      <c r="W864" t="str">
        <f>IFERROR(MID(Проливка[[#This Row],[Штрихкод ]],1,FIND("-",Проливка[[#This Row],[Штрихкод ]],1)-1)," ")</f>
        <v xml:space="preserve"> </v>
      </c>
      <c r="X864" t="str">
        <f>IFERROR(RIGHT(Проливка[[#This Row],[Штрихкод ]],LEN(Проливка[[#This Row],[Штрихкод ]])-SEARCH("-",Проливка[[#This Row],[Штрихкод ]],1))," ")</f>
        <v xml:space="preserve"> </v>
      </c>
      <c r="Y864">
        <f>IFERROR(VLOOKUP(Проливка[[#This Row],[ID]]*1,'Срок хранения'!A864:B962,2,0),0)</f>
        <v>0</v>
      </c>
      <c r="Z864">
        <f>IFERROR(VLOOKUP(Проливка[[#This Row],[ID]]*1,'Срок хранения'!A864:C962,3,0),0)</f>
        <v>0</v>
      </c>
    </row>
    <row r="865" spans="1:26" x14ac:dyDescent="0.25">
      <c r="A865" s="9"/>
      <c r="B865" s="12" t="str">
        <f t="shared" si="53"/>
        <v xml:space="preserve"> </v>
      </c>
      <c r="C865" s="10" t="str">
        <f t="shared" si="52"/>
        <v xml:space="preserve"> </v>
      </c>
      <c r="D865" s="10">
        <f t="shared" si="54"/>
        <v>0</v>
      </c>
      <c r="E865" s="10">
        <f t="shared" si="55"/>
        <v>0</v>
      </c>
      <c r="W865" t="str">
        <f>IFERROR(MID(Проливка[[#This Row],[Штрихкод ]],1,FIND("-",Проливка[[#This Row],[Штрихкод ]],1)-1)," ")</f>
        <v xml:space="preserve"> </v>
      </c>
      <c r="X865" t="str">
        <f>IFERROR(RIGHT(Проливка[[#This Row],[Штрихкод ]],LEN(Проливка[[#This Row],[Штрихкод ]])-SEARCH("-",Проливка[[#This Row],[Штрихкод ]],1))," ")</f>
        <v xml:space="preserve"> </v>
      </c>
      <c r="Y865">
        <f>IFERROR(VLOOKUP(Проливка[[#This Row],[ID]]*1,'Срок хранения'!A865:B963,2,0),0)</f>
        <v>0</v>
      </c>
      <c r="Z865">
        <f>IFERROR(VLOOKUP(Проливка[[#This Row],[ID]]*1,'Срок хранения'!A865:C963,3,0),0)</f>
        <v>0</v>
      </c>
    </row>
    <row r="866" spans="1:26" x14ac:dyDescent="0.25">
      <c r="A866" s="9"/>
      <c r="B866" s="12" t="str">
        <f t="shared" si="53"/>
        <v xml:space="preserve"> </v>
      </c>
      <c r="C866" s="10" t="str">
        <f t="shared" si="52"/>
        <v xml:space="preserve"> </v>
      </c>
      <c r="D866" s="10">
        <f t="shared" si="54"/>
        <v>0</v>
      </c>
      <c r="E866" s="10">
        <f t="shared" si="55"/>
        <v>0</v>
      </c>
      <c r="W866" t="str">
        <f>IFERROR(MID(Проливка[[#This Row],[Штрихкод ]],1,FIND("-",Проливка[[#This Row],[Штрихкод ]],1)-1)," ")</f>
        <v xml:space="preserve"> </v>
      </c>
      <c r="X866" t="str">
        <f>IFERROR(RIGHT(Проливка[[#This Row],[Штрихкод ]],LEN(Проливка[[#This Row],[Штрихкод ]])-SEARCH("-",Проливка[[#This Row],[Штрихкод ]],1))," ")</f>
        <v xml:space="preserve"> </v>
      </c>
      <c r="Y866">
        <f>IFERROR(VLOOKUP(Проливка[[#This Row],[ID]]*1,'Срок хранения'!A866:B964,2,0),0)</f>
        <v>0</v>
      </c>
      <c r="Z866">
        <f>IFERROR(VLOOKUP(Проливка[[#This Row],[ID]]*1,'Срок хранения'!A866:C964,3,0),0)</f>
        <v>0</v>
      </c>
    </row>
    <row r="867" spans="1:26" x14ac:dyDescent="0.25">
      <c r="A867" s="9"/>
      <c r="B867" s="12" t="str">
        <f t="shared" si="53"/>
        <v xml:space="preserve"> </v>
      </c>
      <c r="C867" s="10" t="str">
        <f t="shared" si="52"/>
        <v xml:space="preserve"> </v>
      </c>
      <c r="D867" s="10">
        <f t="shared" si="54"/>
        <v>0</v>
      </c>
      <c r="E867" s="10">
        <f t="shared" si="55"/>
        <v>0</v>
      </c>
      <c r="W867" t="str">
        <f>IFERROR(MID(Проливка[[#This Row],[Штрихкод ]],1,FIND("-",Проливка[[#This Row],[Штрихкод ]],1)-1)," ")</f>
        <v xml:space="preserve"> </v>
      </c>
      <c r="X867" t="str">
        <f>IFERROR(RIGHT(Проливка[[#This Row],[Штрихкод ]],LEN(Проливка[[#This Row],[Штрихкод ]])-SEARCH("-",Проливка[[#This Row],[Штрихкод ]],1))," ")</f>
        <v xml:space="preserve"> </v>
      </c>
      <c r="Y867">
        <f>IFERROR(VLOOKUP(Проливка[[#This Row],[ID]]*1,'Срок хранения'!A867:B965,2,0),0)</f>
        <v>0</v>
      </c>
      <c r="Z867">
        <f>IFERROR(VLOOKUP(Проливка[[#This Row],[ID]]*1,'Срок хранения'!A867:C965,3,0),0)</f>
        <v>0</v>
      </c>
    </row>
    <row r="868" spans="1:26" x14ac:dyDescent="0.25">
      <c r="A868" s="9"/>
      <c r="B868" s="12" t="str">
        <f t="shared" si="53"/>
        <v xml:space="preserve"> </v>
      </c>
      <c r="C868" s="10" t="str">
        <f t="shared" si="52"/>
        <v xml:space="preserve"> </v>
      </c>
      <c r="D868" s="10">
        <f t="shared" si="54"/>
        <v>0</v>
      </c>
      <c r="E868" s="10">
        <f t="shared" si="55"/>
        <v>0</v>
      </c>
      <c r="W868" t="str">
        <f>IFERROR(MID(Проливка[[#This Row],[Штрихкод ]],1,FIND("-",Проливка[[#This Row],[Штрихкод ]],1)-1)," ")</f>
        <v xml:space="preserve"> </v>
      </c>
      <c r="X868" t="str">
        <f>IFERROR(RIGHT(Проливка[[#This Row],[Штрихкод ]],LEN(Проливка[[#This Row],[Штрихкод ]])-SEARCH("-",Проливка[[#This Row],[Штрихкод ]],1))," ")</f>
        <v xml:space="preserve"> </v>
      </c>
      <c r="Y868">
        <f>IFERROR(VLOOKUP(Проливка[[#This Row],[ID]]*1,'Срок хранения'!A868:B966,2,0),0)</f>
        <v>0</v>
      </c>
      <c r="Z868">
        <f>IFERROR(VLOOKUP(Проливка[[#This Row],[ID]]*1,'Срок хранения'!A868:C966,3,0),0)</f>
        <v>0</v>
      </c>
    </row>
    <row r="869" spans="1:26" x14ac:dyDescent="0.25">
      <c r="A869" s="9"/>
      <c r="B869" s="12" t="str">
        <f t="shared" si="53"/>
        <v xml:space="preserve"> </v>
      </c>
      <c r="C869" s="10" t="str">
        <f t="shared" si="52"/>
        <v xml:space="preserve"> </v>
      </c>
      <c r="D869" s="10">
        <f t="shared" si="54"/>
        <v>0</v>
      </c>
      <c r="E869" s="10">
        <f t="shared" si="55"/>
        <v>0</v>
      </c>
      <c r="W869" t="str">
        <f>IFERROR(MID(Проливка[[#This Row],[Штрихкод ]],1,FIND("-",Проливка[[#This Row],[Штрихкод ]],1)-1)," ")</f>
        <v xml:space="preserve"> </v>
      </c>
      <c r="X869" t="str">
        <f>IFERROR(RIGHT(Проливка[[#This Row],[Штрихкод ]],LEN(Проливка[[#This Row],[Штрихкод ]])-SEARCH("-",Проливка[[#This Row],[Штрихкод ]],1))," ")</f>
        <v xml:space="preserve"> </v>
      </c>
      <c r="Y869">
        <f>IFERROR(VLOOKUP(Проливка[[#This Row],[ID]]*1,'Срок хранения'!A869:B967,2,0),0)</f>
        <v>0</v>
      </c>
      <c r="Z869">
        <f>IFERROR(VLOOKUP(Проливка[[#This Row],[ID]]*1,'Срок хранения'!A869:C967,3,0),0)</f>
        <v>0</v>
      </c>
    </row>
    <row r="870" spans="1:26" x14ac:dyDescent="0.25">
      <c r="A870" s="9"/>
      <c r="B870" s="12" t="str">
        <f t="shared" si="53"/>
        <v xml:space="preserve"> </v>
      </c>
      <c r="C870" s="10" t="str">
        <f t="shared" si="52"/>
        <v xml:space="preserve"> </v>
      </c>
      <c r="D870" s="10">
        <f t="shared" si="54"/>
        <v>0</v>
      </c>
      <c r="E870" s="10">
        <f t="shared" si="55"/>
        <v>0</v>
      </c>
      <c r="W870" t="str">
        <f>IFERROR(MID(Проливка[[#This Row],[Штрихкод ]],1,FIND("-",Проливка[[#This Row],[Штрихкод ]],1)-1)," ")</f>
        <v xml:space="preserve"> </v>
      </c>
      <c r="X870" t="str">
        <f>IFERROR(RIGHT(Проливка[[#This Row],[Штрихкод ]],LEN(Проливка[[#This Row],[Штрихкод ]])-SEARCH("-",Проливка[[#This Row],[Штрихкод ]],1))," ")</f>
        <v xml:space="preserve"> </v>
      </c>
      <c r="Y870">
        <f>IFERROR(VLOOKUP(Проливка[[#This Row],[ID]]*1,'Срок хранения'!A870:B968,2,0),0)</f>
        <v>0</v>
      </c>
      <c r="Z870">
        <f>IFERROR(VLOOKUP(Проливка[[#This Row],[ID]]*1,'Срок хранения'!A870:C968,3,0),0)</f>
        <v>0</v>
      </c>
    </row>
    <row r="871" spans="1:26" x14ac:dyDescent="0.25">
      <c r="A871" s="9"/>
      <c r="B871" s="12" t="str">
        <f t="shared" si="53"/>
        <v xml:space="preserve"> </v>
      </c>
      <c r="C871" s="10" t="str">
        <f t="shared" si="52"/>
        <v xml:space="preserve"> </v>
      </c>
      <c r="D871" s="10">
        <f t="shared" si="54"/>
        <v>0</v>
      </c>
      <c r="E871" s="10">
        <f t="shared" si="55"/>
        <v>0</v>
      </c>
      <c r="W871" t="str">
        <f>IFERROR(MID(Проливка[[#This Row],[Штрихкод ]],1,FIND("-",Проливка[[#This Row],[Штрихкод ]],1)-1)," ")</f>
        <v xml:space="preserve"> </v>
      </c>
      <c r="X871" t="str">
        <f>IFERROR(RIGHT(Проливка[[#This Row],[Штрихкод ]],LEN(Проливка[[#This Row],[Штрихкод ]])-SEARCH("-",Проливка[[#This Row],[Штрихкод ]],1))," ")</f>
        <v xml:space="preserve"> </v>
      </c>
      <c r="Y871">
        <f>IFERROR(VLOOKUP(Проливка[[#This Row],[ID]]*1,'Срок хранения'!A871:B969,2,0),0)</f>
        <v>0</v>
      </c>
      <c r="Z871">
        <f>IFERROR(VLOOKUP(Проливка[[#This Row],[ID]]*1,'Срок хранения'!A871:C969,3,0),0)</f>
        <v>0</v>
      </c>
    </row>
    <row r="872" spans="1:26" x14ac:dyDescent="0.25">
      <c r="A872" s="9"/>
      <c r="B872" s="12" t="str">
        <f t="shared" si="53"/>
        <v xml:space="preserve"> </v>
      </c>
      <c r="C872" s="10" t="str">
        <f t="shared" si="52"/>
        <v xml:space="preserve"> </v>
      </c>
      <c r="D872" s="10">
        <f t="shared" si="54"/>
        <v>0</v>
      </c>
      <c r="E872" s="10">
        <f t="shared" si="55"/>
        <v>0</v>
      </c>
      <c r="W872" t="str">
        <f>IFERROR(MID(Проливка[[#This Row],[Штрихкод ]],1,FIND("-",Проливка[[#This Row],[Штрихкод ]],1)-1)," ")</f>
        <v xml:space="preserve"> </v>
      </c>
      <c r="X872" t="str">
        <f>IFERROR(RIGHT(Проливка[[#This Row],[Штрихкод ]],LEN(Проливка[[#This Row],[Штрихкод ]])-SEARCH("-",Проливка[[#This Row],[Штрихкод ]],1))," ")</f>
        <v xml:space="preserve"> </v>
      </c>
      <c r="Y872">
        <f>IFERROR(VLOOKUP(Проливка[[#This Row],[ID]]*1,'Срок хранения'!A872:B970,2,0),0)</f>
        <v>0</v>
      </c>
      <c r="Z872">
        <f>IFERROR(VLOOKUP(Проливка[[#This Row],[ID]]*1,'Срок хранения'!A872:C970,3,0),0)</f>
        <v>0</v>
      </c>
    </row>
    <row r="873" spans="1:26" x14ac:dyDescent="0.25">
      <c r="A873" s="9"/>
      <c r="B873" s="12" t="str">
        <f t="shared" si="53"/>
        <v xml:space="preserve"> </v>
      </c>
      <c r="C873" s="10" t="str">
        <f t="shared" si="52"/>
        <v xml:space="preserve"> </v>
      </c>
      <c r="D873" s="10">
        <f t="shared" si="54"/>
        <v>0</v>
      </c>
      <c r="E873" s="10">
        <f t="shared" si="55"/>
        <v>0</v>
      </c>
      <c r="W873" t="str">
        <f>IFERROR(MID(Проливка[[#This Row],[Штрихкод ]],1,FIND("-",Проливка[[#This Row],[Штрихкод ]],1)-1)," ")</f>
        <v xml:space="preserve"> </v>
      </c>
      <c r="X873" t="str">
        <f>IFERROR(RIGHT(Проливка[[#This Row],[Штрихкод ]],LEN(Проливка[[#This Row],[Штрихкод ]])-SEARCH("-",Проливка[[#This Row],[Штрихкод ]],1))," ")</f>
        <v xml:space="preserve"> </v>
      </c>
      <c r="Y873">
        <f>IFERROR(VLOOKUP(Проливка[[#This Row],[ID]]*1,'Срок хранения'!A873:B971,2,0),0)</f>
        <v>0</v>
      </c>
      <c r="Z873">
        <f>IFERROR(VLOOKUP(Проливка[[#This Row],[ID]]*1,'Срок хранения'!A873:C971,3,0),0)</f>
        <v>0</v>
      </c>
    </row>
    <row r="874" spans="1:26" x14ac:dyDescent="0.25">
      <c r="A874" s="9"/>
      <c r="B874" s="12" t="str">
        <f t="shared" si="53"/>
        <v xml:space="preserve"> </v>
      </c>
      <c r="C874" s="10" t="str">
        <f t="shared" si="52"/>
        <v xml:space="preserve"> </v>
      </c>
      <c r="D874" s="10">
        <f t="shared" si="54"/>
        <v>0</v>
      </c>
      <c r="E874" s="10">
        <f t="shared" si="55"/>
        <v>0</v>
      </c>
      <c r="W874" t="str">
        <f>IFERROR(MID(Проливка[[#This Row],[Штрихкод ]],1,FIND("-",Проливка[[#This Row],[Штрихкод ]],1)-1)," ")</f>
        <v xml:space="preserve"> </v>
      </c>
      <c r="X874" t="str">
        <f>IFERROR(RIGHT(Проливка[[#This Row],[Штрихкод ]],LEN(Проливка[[#This Row],[Штрихкод ]])-SEARCH("-",Проливка[[#This Row],[Штрихкод ]],1))," ")</f>
        <v xml:space="preserve"> </v>
      </c>
      <c r="Y874">
        <f>IFERROR(VLOOKUP(Проливка[[#This Row],[ID]]*1,'Срок хранения'!A874:B972,2,0),0)</f>
        <v>0</v>
      </c>
      <c r="Z874">
        <f>IFERROR(VLOOKUP(Проливка[[#This Row],[ID]]*1,'Срок хранения'!A874:C972,3,0),0)</f>
        <v>0</v>
      </c>
    </row>
    <row r="875" spans="1:26" x14ac:dyDescent="0.25">
      <c r="A875" s="9"/>
      <c r="B875" s="12" t="str">
        <f t="shared" si="53"/>
        <v xml:space="preserve"> </v>
      </c>
      <c r="C875" s="10" t="str">
        <f t="shared" si="52"/>
        <v xml:space="preserve"> </v>
      </c>
      <c r="D875" s="10">
        <f t="shared" si="54"/>
        <v>0</v>
      </c>
      <c r="E875" s="10">
        <f t="shared" si="55"/>
        <v>0</v>
      </c>
      <c r="W875" t="str">
        <f>IFERROR(MID(Проливка[[#This Row],[Штрихкод ]],1,FIND("-",Проливка[[#This Row],[Штрихкод ]],1)-1)," ")</f>
        <v xml:space="preserve"> </v>
      </c>
      <c r="X875" t="str">
        <f>IFERROR(RIGHT(Проливка[[#This Row],[Штрихкод ]],LEN(Проливка[[#This Row],[Штрихкод ]])-SEARCH("-",Проливка[[#This Row],[Штрихкод ]],1))," ")</f>
        <v xml:space="preserve"> </v>
      </c>
      <c r="Y875">
        <f>IFERROR(VLOOKUP(Проливка[[#This Row],[ID]]*1,'Срок хранения'!A875:B973,2,0),0)</f>
        <v>0</v>
      </c>
      <c r="Z875">
        <f>IFERROR(VLOOKUP(Проливка[[#This Row],[ID]]*1,'Срок хранения'!A875:C973,3,0),0)</f>
        <v>0</v>
      </c>
    </row>
    <row r="876" spans="1:26" x14ac:dyDescent="0.25">
      <c r="A876" s="9"/>
      <c r="B876" s="12" t="str">
        <f t="shared" si="53"/>
        <v xml:space="preserve"> </v>
      </c>
      <c r="C876" s="10" t="str">
        <f t="shared" si="52"/>
        <v xml:space="preserve"> </v>
      </c>
      <c r="D876" s="10">
        <f t="shared" si="54"/>
        <v>0</v>
      </c>
      <c r="E876" s="10">
        <f t="shared" si="55"/>
        <v>0</v>
      </c>
      <c r="W876" t="str">
        <f>IFERROR(MID(Проливка[[#This Row],[Штрихкод ]],1,FIND("-",Проливка[[#This Row],[Штрихкод ]],1)-1)," ")</f>
        <v xml:space="preserve"> </v>
      </c>
      <c r="X876" t="str">
        <f>IFERROR(RIGHT(Проливка[[#This Row],[Штрихкод ]],LEN(Проливка[[#This Row],[Штрихкод ]])-SEARCH("-",Проливка[[#This Row],[Штрихкод ]],1))," ")</f>
        <v xml:space="preserve"> </v>
      </c>
      <c r="Y876">
        <f>IFERROR(VLOOKUP(Проливка[[#This Row],[ID]]*1,'Срок хранения'!A876:B974,2,0),0)</f>
        <v>0</v>
      </c>
      <c r="Z876">
        <f>IFERROR(VLOOKUP(Проливка[[#This Row],[ID]]*1,'Срок хранения'!A876:C974,3,0),0)</f>
        <v>0</v>
      </c>
    </row>
    <row r="877" spans="1:26" x14ac:dyDescent="0.25">
      <c r="A877" s="9"/>
      <c r="B877" s="12" t="str">
        <f t="shared" si="53"/>
        <v xml:space="preserve"> </v>
      </c>
      <c r="C877" s="10" t="str">
        <f t="shared" si="52"/>
        <v xml:space="preserve"> </v>
      </c>
      <c r="D877" s="10">
        <f t="shared" si="54"/>
        <v>0</v>
      </c>
      <c r="E877" s="10">
        <f t="shared" si="55"/>
        <v>0</v>
      </c>
      <c r="W877" t="str">
        <f>IFERROR(MID(Проливка[[#This Row],[Штрихкод ]],1,FIND("-",Проливка[[#This Row],[Штрихкод ]],1)-1)," ")</f>
        <v xml:space="preserve"> </v>
      </c>
      <c r="X877" t="str">
        <f>IFERROR(RIGHT(Проливка[[#This Row],[Штрихкод ]],LEN(Проливка[[#This Row],[Штрихкод ]])-SEARCH("-",Проливка[[#This Row],[Штрихкод ]],1))," ")</f>
        <v xml:space="preserve"> </v>
      </c>
      <c r="Y877">
        <f>IFERROR(VLOOKUP(Проливка[[#This Row],[ID]]*1,'Срок хранения'!A877:B975,2,0),0)</f>
        <v>0</v>
      </c>
      <c r="Z877">
        <f>IFERROR(VLOOKUP(Проливка[[#This Row],[ID]]*1,'Срок хранения'!A877:C975,3,0),0)</f>
        <v>0</v>
      </c>
    </row>
    <row r="878" spans="1:26" x14ac:dyDescent="0.25">
      <c r="A878" s="9"/>
      <c r="B878" s="12" t="str">
        <f t="shared" si="53"/>
        <v xml:space="preserve"> </v>
      </c>
      <c r="C878" s="10" t="str">
        <f t="shared" si="52"/>
        <v xml:space="preserve"> </v>
      </c>
      <c r="D878" s="10">
        <f t="shared" si="54"/>
        <v>0</v>
      </c>
      <c r="E878" s="10">
        <f t="shared" si="55"/>
        <v>0</v>
      </c>
      <c r="W878" t="str">
        <f>IFERROR(MID(Проливка[[#This Row],[Штрихкод ]],1,FIND("-",Проливка[[#This Row],[Штрихкод ]],1)-1)," ")</f>
        <v xml:space="preserve"> </v>
      </c>
      <c r="X878" t="str">
        <f>IFERROR(RIGHT(Проливка[[#This Row],[Штрихкод ]],LEN(Проливка[[#This Row],[Штрихкод ]])-SEARCH("-",Проливка[[#This Row],[Штрихкод ]],1))," ")</f>
        <v xml:space="preserve"> </v>
      </c>
      <c r="Y878">
        <f>IFERROR(VLOOKUP(Проливка[[#This Row],[ID]]*1,'Срок хранения'!A878:B976,2,0),0)</f>
        <v>0</v>
      </c>
      <c r="Z878">
        <f>IFERROR(VLOOKUP(Проливка[[#This Row],[ID]]*1,'Срок хранения'!A878:C976,3,0),0)</f>
        <v>0</v>
      </c>
    </row>
    <row r="879" spans="1:26" x14ac:dyDescent="0.25">
      <c r="A879" s="9"/>
      <c r="B879" s="12" t="str">
        <f t="shared" si="53"/>
        <v xml:space="preserve"> </v>
      </c>
      <c r="C879" s="10" t="str">
        <f t="shared" si="52"/>
        <v xml:space="preserve"> </v>
      </c>
      <c r="D879" s="10">
        <f t="shared" si="54"/>
        <v>0</v>
      </c>
      <c r="E879" s="10">
        <f t="shared" si="55"/>
        <v>0</v>
      </c>
      <c r="W879" t="str">
        <f>IFERROR(MID(Проливка[[#This Row],[Штрихкод ]],1,FIND("-",Проливка[[#This Row],[Штрихкод ]],1)-1)," ")</f>
        <v xml:space="preserve"> </v>
      </c>
      <c r="X879" t="str">
        <f>IFERROR(RIGHT(Проливка[[#This Row],[Штрихкод ]],LEN(Проливка[[#This Row],[Штрихкод ]])-SEARCH("-",Проливка[[#This Row],[Штрихкод ]],1))," ")</f>
        <v xml:space="preserve"> </v>
      </c>
      <c r="Y879">
        <f>IFERROR(VLOOKUP(Проливка[[#This Row],[ID]]*1,'Срок хранения'!A879:B977,2,0),0)</f>
        <v>0</v>
      </c>
      <c r="Z879">
        <f>IFERROR(VLOOKUP(Проливка[[#This Row],[ID]]*1,'Срок хранения'!A879:C977,3,0),0)</f>
        <v>0</v>
      </c>
    </row>
    <row r="880" spans="1:26" x14ac:dyDescent="0.25">
      <c r="A880" s="9"/>
      <c r="B880" s="12" t="str">
        <f t="shared" si="53"/>
        <v xml:space="preserve"> </v>
      </c>
      <c r="C880" s="10" t="str">
        <f t="shared" si="52"/>
        <v xml:space="preserve"> </v>
      </c>
      <c r="D880" s="10">
        <f t="shared" si="54"/>
        <v>0</v>
      </c>
      <c r="E880" s="10">
        <f t="shared" si="55"/>
        <v>0</v>
      </c>
      <c r="W880" t="str">
        <f>IFERROR(MID(Проливка[[#This Row],[Штрихкод ]],1,FIND("-",Проливка[[#This Row],[Штрихкод ]],1)-1)," ")</f>
        <v xml:space="preserve"> </v>
      </c>
      <c r="X880" t="str">
        <f>IFERROR(RIGHT(Проливка[[#This Row],[Штрихкод ]],LEN(Проливка[[#This Row],[Штрихкод ]])-SEARCH("-",Проливка[[#This Row],[Штрихкод ]],1))," ")</f>
        <v xml:space="preserve"> </v>
      </c>
      <c r="Y880">
        <f>IFERROR(VLOOKUP(Проливка[[#This Row],[ID]]*1,'Срок хранения'!A880:B978,2,0),0)</f>
        <v>0</v>
      </c>
      <c r="Z880">
        <f>IFERROR(VLOOKUP(Проливка[[#This Row],[ID]]*1,'Срок хранения'!A880:C978,3,0),0)</f>
        <v>0</v>
      </c>
    </row>
    <row r="881" spans="1:26" x14ac:dyDescent="0.25">
      <c r="A881" s="9"/>
      <c r="B881" s="12" t="str">
        <f t="shared" si="53"/>
        <v xml:space="preserve"> </v>
      </c>
      <c r="C881" s="10" t="str">
        <f t="shared" si="52"/>
        <v xml:space="preserve"> </v>
      </c>
      <c r="D881" s="10">
        <f t="shared" si="54"/>
        <v>0</v>
      </c>
      <c r="E881" s="10">
        <f t="shared" si="55"/>
        <v>0</v>
      </c>
      <c r="W881" t="str">
        <f>IFERROR(MID(Проливка[[#This Row],[Штрихкод ]],1,FIND("-",Проливка[[#This Row],[Штрихкод ]],1)-1)," ")</f>
        <v xml:space="preserve"> </v>
      </c>
      <c r="X881" t="str">
        <f>IFERROR(RIGHT(Проливка[[#This Row],[Штрихкод ]],LEN(Проливка[[#This Row],[Штрихкод ]])-SEARCH("-",Проливка[[#This Row],[Штрихкод ]],1))," ")</f>
        <v xml:space="preserve"> </v>
      </c>
      <c r="Y881">
        <f>IFERROR(VLOOKUP(Проливка[[#This Row],[ID]]*1,'Срок хранения'!A881:B979,2,0),0)</f>
        <v>0</v>
      </c>
      <c r="Z881">
        <f>IFERROR(VLOOKUP(Проливка[[#This Row],[ID]]*1,'Срок хранения'!A881:C979,3,0),0)</f>
        <v>0</v>
      </c>
    </row>
    <row r="882" spans="1:26" x14ac:dyDescent="0.25">
      <c r="A882" s="9"/>
      <c r="B882" s="12" t="str">
        <f t="shared" si="53"/>
        <v xml:space="preserve"> </v>
      </c>
      <c r="C882" s="10" t="str">
        <f t="shared" si="52"/>
        <v xml:space="preserve"> </v>
      </c>
      <c r="D882" s="10">
        <f t="shared" si="54"/>
        <v>0</v>
      </c>
      <c r="E882" s="10">
        <f t="shared" si="55"/>
        <v>0</v>
      </c>
      <c r="W882" t="str">
        <f>IFERROR(MID(Проливка[[#This Row],[Штрихкод ]],1,FIND("-",Проливка[[#This Row],[Штрихкод ]],1)-1)," ")</f>
        <v xml:space="preserve"> </v>
      </c>
      <c r="X882" t="str">
        <f>IFERROR(RIGHT(Проливка[[#This Row],[Штрихкод ]],LEN(Проливка[[#This Row],[Штрихкод ]])-SEARCH("-",Проливка[[#This Row],[Штрихкод ]],1))," ")</f>
        <v xml:space="preserve"> </v>
      </c>
      <c r="Y882">
        <f>IFERROR(VLOOKUP(Проливка[[#This Row],[ID]]*1,'Срок хранения'!A882:B980,2,0),0)</f>
        <v>0</v>
      </c>
      <c r="Z882">
        <f>IFERROR(VLOOKUP(Проливка[[#This Row],[ID]]*1,'Срок хранения'!A882:C980,3,0),0)</f>
        <v>0</v>
      </c>
    </row>
    <row r="883" spans="1:26" x14ac:dyDescent="0.25">
      <c r="A883" s="9"/>
      <c r="B883" s="12" t="str">
        <f t="shared" si="53"/>
        <v xml:space="preserve"> </v>
      </c>
      <c r="C883" s="10" t="str">
        <f t="shared" si="52"/>
        <v xml:space="preserve"> </v>
      </c>
      <c r="D883" s="10">
        <f t="shared" si="54"/>
        <v>0</v>
      </c>
      <c r="E883" s="10">
        <f t="shared" si="55"/>
        <v>0</v>
      </c>
      <c r="W883" t="str">
        <f>IFERROR(MID(Проливка[[#This Row],[Штрихкод ]],1,FIND("-",Проливка[[#This Row],[Штрихкод ]],1)-1)," ")</f>
        <v xml:space="preserve"> </v>
      </c>
      <c r="X883" t="str">
        <f>IFERROR(RIGHT(Проливка[[#This Row],[Штрихкод ]],LEN(Проливка[[#This Row],[Штрихкод ]])-SEARCH("-",Проливка[[#This Row],[Штрихкод ]],1))," ")</f>
        <v xml:space="preserve"> </v>
      </c>
      <c r="Y883">
        <f>IFERROR(VLOOKUP(Проливка[[#This Row],[ID]]*1,'Срок хранения'!A883:B981,2,0),0)</f>
        <v>0</v>
      </c>
      <c r="Z883">
        <f>IFERROR(VLOOKUP(Проливка[[#This Row],[ID]]*1,'Срок хранения'!A883:C981,3,0),0)</f>
        <v>0</v>
      </c>
    </row>
    <row r="884" spans="1:26" x14ac:dyDescent="0.25">
      <c r="A884" s="9"/>
      <c r="B884" s="12" t="str">
        <f t="shared" si="53"/>
        <v xml:space="preserve"> </v>
      </c>
      <c r="C884" s="10" t="str">
        <f t="shared" si="52"/>
        <v xml:space="preserve"> </v>
      </c>
      <c r="D884" s="10">
        <f t="shared" si="54"/>
        <v>0</v>
      </c>
      <c r="E884" s="10">
        <f t="shared" si="55"/>
        <v>0</v>
      </c>
      <c r="W884" t="str">
        <f>IFERROR(MID(Проливка[[#This Row],[Штрихкод ]],1,FIND("-",Проливка[[#This Row],[Штрихкод ]],1)-1)," ")</f>
        <v xml:space="preserve"> </v>
      </c>
      <c r="X884" t="str">
        <f>IFERROR(RIGHT(Проливка[[#This Row],[Штрихкод ]],LEN(Проливка[[#This Row],[Штрихкод ]])-SEARCH("-",Проливка[[#This Row],[Штрихкод ]],1))," ")</f>
        <v xml:space="preserve"> </v>
      </c>
      <c r="Y884">
        <f>IFERROR(VLOOKUP(Проливка[[#This Row],[ID]]*1,'Срок хранения'!A884:B982,2,0),0)</f>
        <v>0</v>
      </c>
      <c r="Z884">
        <f>IFERROR(VLOOKUP(Проливка[[#This Row],[ID]]*1,'Срок хранения'!A884:C982,3,0),0)</f>
        <v>0</v>
      </c>
    </row>
    <row r="885" spans="1:26" x14ac:dyDescent="0.25">
      <c r="A885" s="9"/>
      <c r="B885" s="12" t="str">
        <f t="shared" si="53"/>
        <v xml:space="preserve"> </v>
      </c>
      <c r="C885" s="10" t="str">
        <f t="shared" si="52"/>
        <v xml:space="preserve"> </v>
      </c>
      <c r="D885" s="10">
        <f t="shared" si="54"/>
        <v>0</v>
      </c>
      <c r="E885" s="10">
        <f t="shared" si="55"/>
        <v>0</v>
      </c>
      <c r="W885" t="str">
        <f>IFERROR(MID(Проливка[[#This Row],[Штрихкод ]],1,FIND("-",Проливка[[#This Row],[Штрихкод ]],1)-1)," ")</f>
        <v xml:space="preserve"> </v>
      </c>
      <c r="X885" t="str">
        <f>IFERROR(RIGHT(Проливка[[#This Row],[Штрихкод ]],LEN(Проливка[[#This Row],[Штрихкод ]])-SEARCH("-",Проливка[[#This Row],[Штрихкод ]],1))," ")</f>
        <v xml:space="preserve"> </v>
      </c>
      <c r="Y885">
        <f>IFERROR(VLOOKUP(Проливка[[#This Row],[ID]]*1,'Срок хранения'!A885:B983,2,0),0)</f>
        <v>0</v>
      </c>
      <c r="Z885">
        <f>IFERROR(VLOOKUP(Проливка[[#This Row],[ID]]*1,'Срок хранения'!A885:C983,3,0),0)</f>
        <v>0</v>
      </c>
    </row>
    <row r="886" spans="1:26" x14ac:dyDescent="0.25">
      <c r="A886" s="9"/>
      <c r="B886" s="12" t="str">
        <f t="shared" si="53"/>
        <v xml:space="preserve"> </v>
      </c>
      <c r="C886" s="10" t="str">
        <f t="shared" si="52"/>
        <v xml:space="preserve"> </v>
      </c>
      <c r="D886" s="10">
        <f t="shared" si="54"/>
        <v>0</v>
      </c>
      <c r="E886" s="10">
        <f t="shared" si="55"/>
        <v>0</v>
      </c>
      <c r="W886" t="str">
        <f>IFERROR(MID(Проливка[[#This Row],[Штрихкод ]],1,FIND("-",Проливка[[#This Row],[Штрихкод ]],1)-1)," ")</f>
        <v xml:space="preserve"> </v>
      </c>
      <c r="X886" t="str">
        <f>IFERROR(RIGHT(Проливка[[#This Row],[Штрихкод ]],LEN(Проливка[[#This Row],[Штрихкод ]])-SEARCH("-",Проливка[[#This Row],[Штрихкод ]],1))," ")</f>
        <v xml:space="preserve"> </v>
      </c>
      <c r="Y886">
        <f>IFERROR(VLOOKUP(Проливка[[#This Row],[ID]]*1,'Срок хранения'!A886:B984,2,0),0)</f>
        <v>0</v>
      </c>
      <c r="Z886">
        <f>IFERROR(VLOOKUP(Проливка[[#This Row],[ID]]*1,'Срок хранения'!A886:C984,3,0),0)</f>
        <v>0</v>
      </c>
    </row>
    <row r="887" spans="1:26" x14ac:dyDescent="0.25">
      <c r="A887" s="9"/>
      <c r="B887" s="12" t="str">
        <f t="shared" si="53"/>
        <v xml:space="preserve"> </v>
      </c>
      <c r="C887" s="10" t="str">
        <f t="shared" si="52"/>
        <v xml:space="preserve"> </v>
      </c>
      <c r="D887" s="10">
        <f t="shared" si="54"/>
        <v>0</v>
      </c>
      <c r="E887" s="10">
        <f t="shared" si="55"/>
        <v>0</v>
      </c>
      <c r="W887" t="str">
        <f>IFERROR(MID(Проливка[[#This Row],[Штрихкод ]],1,FIND("-",Проливка[[#This Row],[Штрихкод ]],1)-1)," ")</f>
        <v xml:space="preserve"> </v>
      </c>
      <c r="X887" t="str">
        <f>IFERROR(RIGHT(Проливка[[#This Row],[Штрихкод ]],LEN(Проливка[[#This Row],[Штрихкод ]])-SEARCH("-",Проливка[[#This Row],[Штрихкод ]],1))," ")</f>
        <v xml:space="preserve"> </v>
      </c>
      <c r="Y887">
        <f>IFERROR(VLOOKUP(Проливка[[#This Row],[ID]]*1,'Срок хранения'!A887:B985,2,0),0)</f>
        <v>0</v>
      </c>
      <c r="Z887">
        <f>IFERROR(VLOOKUP(Проливка[[#This Row],[ID]]*1,'Срок хранения'!A887:C985,3,0),0)</f>
        <v>0</v>
      </c>
    </row>
    <row r="888" spans="1:26" x14ac:dyDescent="0.25">
      <c r="A888" s="9"/>
      <c r="B888" s="12" t="str">
        <f t="shared" si="53"/>
        <v xml:space="preserve"> </v>
      </c>
      <c r="C888" s="10" t="str">
        <f t="shared" si="52"/>
        <v xml:space="preserve"> </v>
      </c>
      <c r="D888" s="10">
        <f t="shared" si="54"/>
        <v>0</v>
      </c>
      <c r="E888" s="10">
        <f t="shared" si="55"/>
        <v>0</v>
      </c>
      <c r="W888" t="str">
        <f>IFERROR(MID(Проливка[[#This Row],[Штрихкод ]],1,FIND("-",Проливка[[#This Row],[Штрихкод ]],1)-1)," ")</f>
        <v xml:space="preserve"> </v>
      </c>
      <c r="X888" t="str">
        <f>IFERROR(RIGHT(Проливка[[#This Row],[Штрихкод ]],LEN(Проливка[[#This Row],[Штрихкод ]])-SEARCH("-",Проливка[[#This Row],[Штрихкод ]],1))," ")</f>
        <v xml:space="preserve"> </v>
      </c>
      <c r="Y888">
        <f>IFERROR(VLOOKUP(Проливка[[#This Row],[ID]]*1,'Срок хранения'!A888:B986,2,0),0)</f>
        <v>0</v>
      </c>
      <c r="Z888">
        <f>IFERROR(VLOOKUP(Проливка[[#This Row],[ID]]*1,'Срок хранения'!A888:C986,3,0),0)</f>
        <v>0</v>
      </c>
    </row>
    <row r="889" spans="1:26" x14ac:dyDescent="0.25">
      <c r="A889" s="9"/>
      <c r="B889" s="12" t="str">
        <f t="shared" si="53"/>
        <v xml:space="preserve"> </v>
      </c>
      <c r="C889" s="10" t="str">
        <f t="shared" si="52"/>
        <v xml:space="preserve"> </v>
      </c>
      <c r="D889" s="10">
        <f t="shared" si="54"/>
        <v>0</v>
      </c>
      <c r="E889" s="10">
        <f t="shared" si="55"/>
        <v>0</v>
      </c>
      <c r="W889" t="str">
        <f>IFERROR(MID(Проливка[[#This Row],[Штрихкод ]],1,FIND("-",Проливка[[#This Row],[Штрихкод ]],1)-1)," ")</f>
        <v xml:space="preserve"> </v>
      </c>
      <c r="X889" t="str">
        <f>IFERROR(RIGHT(Проливка[[#This Row],[Штрихкод ]],LEN(Проливка[[#This Row],[Штрихкод ]])-SEARCH("-",Проливка[[#This Row],[Штрихкод ]],1))," ")</f>
        <v xml:space="preserve"> </v>
      </c>
      <c r="Y889">
        <f>IFERROR(VLOOKUP(Проливка[[#This Row],[ID]]*1,'Срок хранения'!A889:B987,2,0),0)</f>
        <v>0</v>
      </c>
      <c r="Z889">
        <f>IFERROR(VLOOKUP(Проливка[[#This Row],[ID]]*1,'Срок хранения'!A889:C987,3,0),0)</f>
        <v>0</v>
      </c>
    </row>
    <row r="890" spans="1:26" x14ac:dyDescent="0.25">
      <c r="A890" s="9"/>
      <c r="B890" s="12" t="str">
        <f t="shared" si="53"/>
        <v xml:space="preserve"> </v>
      </c>
      <c r="C890" s="10" t="str">
        <f t="shared" si="52"/>
        <v xml:space="preserve"> </v>
      </c>
      <c r="D890" s="10">
        <f t="shared" si="54"/>
        <v>0</v>
      </c>
      <c r="E890" s="10">
        <f t="shared" si="55"/>
        <v>0</v>
      </c>
      <c r="W890" t="str">
        <f>IFERROR(MID(Проливка[[#This Row],[Штрихкод ]],1,FIND("-",Проливка[[#This Row],[Штрихкод ]],1)-1)," ")</f>
        <v xml:space="preserve"> </v>
      </c>
      <c r="X890" t="str">
        <f>IFERROR(RIGHT(Проливка[[#This Row],[Штрихкод ]],LEN(Проливка[[#This Row],[Штрихкод ]])-SEARCH("-",Проливка[[#This Row],[Штрихкод ]],1))," ")</f>
        <v xml:space="preserve"> </v>
      </c>
      <c r="Y890">
        <f>IFERROR(VLOOKUP(Проливка[[#This Row],[ID]]*1,'Срок хранения'!A890:B988,2,0),0)</f>
        <v>0</v>
      </c>
      <c r="Z890">
        <f>IFERROR(VLOOKUP(Проливка[[#This Row],[ID]]*1,'Срок хранения'!A890:C988,3,0),0)</f>
        <v>0</v>
      </c>
    </row>
    <row r="891" spans="1:26" x14ac:dyDescent="0.25">
      <c r="A891" s="9"/>
      <c r="B891" s="12" t="str">
        <f t="shared" si="53"/>
        <v xml:space="preserve"> </v>
      </c>
      <c r="C891" s="10" t="str">
        <f t="shared" si="52"/>
        <v xml:space="preserve"> </v>
      </c>
      <c r="D891" s="10">
        <f t="shared" si="54"/>
        <v>0</v>
      </c>
      <c r="E891" s="10">
        <f t="shared" si="55"/>
        <v>0</v>
      </c>
      <c r="W891" t="str">
        <f>IFERROR(MID(Проливка[[#This Row],[Штрихкод ]],1,FIND("-",Проливка[[#This Row],[Штрихкод ]],1)-1)," ")</f>
        <v xml:space="preserve"> </v>
      </c>
      <c r="X891" t="str">
        <f>IFERROR(RIGHT(Проливка[[#This Row],[Штрихкод ]],LEN(Проливка[[#This Row],[Штрихкод ]])-SEARCH("-",Проливка[[#This Row],[Штрихкод ]],1))," ")</f>
        <v xml:space="preserve"> </v>
      </c>
      <c r="Y891">
        <f>IFERROR(VLOOKUP(Проливка[[#This Row],[ID]]*1,'Срок хранения'!A891:B989,2,0),0)</f>
        <v>0</v>
      </c>
      <c r="Z891">
        <f>IFERROR(VLOOKUP(Проливка[[#This Row],[ID]]*1,'Срок хранения'!A891:C989,3,0),0)</f>
        <v>0</v>
      </c>
    </row>
    <row r="892" spans="1:26" x14ac:dyDescent="0.25">
      <c r="A892" s="9"/>
      <c r="B892" s="12" t="str">
        <f t="shared" si="53"/>
        <v xml:space="preserve"> </v>
      </c>
      <c r="C892" s="10" t="str">
        <f t="shared" si="52"/>
        <v xml:space="preserve"> </v>
      </c>
      <c r="D892" s="10">
        <f t="shared" si="54"/>
        <v>0</v>
      </c>
      <c r="E892" s="10">
        <f t="shared" si="55"/>
        <v>0</v>
      </c>
      <c r="W892" t="str">
        <f>IFERROR(MID(Проливка[[#This Row],[Штрихкод ]],1,FIND("-",Проливка[[#This Row],[Штрихкод ]],1)-1)," ")</f>
        <v xml:space="preserve"> </v>
      </c>
      <c r="X892" t="str">
        <f>IFERROR(RIGHT(Проливка[[#This Row],[Штрихкод ]],LEN(Проливка[[#This Row],[Штрихкод ]])-SEARCH("-",Проливка[[#This Row],[Штрихкод ]],1))," ")</f>
        <v xml:space="preserve"> </v>
      </c>
      <c r="Y892">
        <f>IFERROR(VLOOKUP(Проливка[[#This Row],[ID]]*1,'Срок хранения'!A892:B990,2,0),0)</f>
        <v>0</v>
      </c>
      <c r="Z892">
        <f>IFERROR(VLOOKUP(Проливка[[#This Row],[ID]]*1,'Срок хранения'!A892:C990,3,0),0)</f>
        <v>0</v>
      </c>
    </row>
    <row r="893" spans="1:26" x14ac:dyDescent="0.25">
      <c r="A893" s="9"/>
      <c r="B893" s="12" t="str">
        <f t="shared" si="53"/>
        <v xml:space="preserve"> </v>
      </c>
      <c r="C893" s="10" t="str">
        <f t="shared" si="52"/>
        <v xml:space="preserve"> </v>
      </c>
      <c r="D893" s="10">
        <f t="shared" si="54"/>
        <v>0</v>
      </c>
      <c r="E893" s="10">
        <f t="shared" si="55"/>
        <v>0</v>
      </c>
      <c r="W893" t="str">
        <f>IFERROR(MID(Проливка[[#This Row],[Штрихкод ]],1,FIND("-",Проливка[[#This Row],[Штрихкод ]],1)-1)," ")</f>
        <v xml:space="preserve"> </v>
      </c>
      <c r="X893" t="str">
        <f>IFERROR(RIGHT(Проливка[[#This Row],[Штрихкод ]],LEN(Проливка[[#This Row],[Штрихкод ]])-SEARCH("-",Проливка[[#This Row],[Штрихкод ]],1))," ")</f>
        <v xml:space="preserve"> </v>
      </c>
      <c r="Y893">
        <f>IFERROR(VLOOKUP(Проливка[[#This Row],[ID]]*1,'Срок хранения'!A893:B991,2,0),0)</f>
        <v>0</v>
      </c>
      <c r="Z893">
        <f>IFERROR(VLOOKUP(Проливка[[#This Row],[ID]]*1,'Срок хранения'!A893:C991,3,0),0)</f>
        <v>0</v>
      </c>
    </row>
    <row r="894" spans="1:26" x14ac:dyDescent="0.25">
      <c r="A894" s="9"/>
      <c r="B894" s="12" t="str">
        <f t="shared" si="53"/>
        <v xml:space="preserve"> </v>
      </c>
      <c r="C894" s="10" t="str">
        <f t="shared" si="52"/>
        <v xml:space="preserve"> </v>
      </c>
      <c r="D894" s="10">
        <f t="shared" si="54"/>
        <v>0</v>
      </c>
      <c r="E894" s="10">
        <f t="shared" si="55"/>
        <v>0</v>
      </c>
      <c r="W894" t="str">
        <f>IFERROR(MID(Проливка[[#This Row],[Штрихкод ]],1,FIND("-",Проливка[[#This Row],[Штрихкод ]],1)-1)," ")</f>
        <v xml:space="preserve"> </v>
      </c>
      <c r="X894" t="str">
        <f>IFERROR(RIGHT(Проливка[[#This Row],[Штрихкод ]],LEN(Проливка[[#This Row],[Штрихкод ]])-SEARCH("-",Проливка[[#This Row],[Штрихкод ]],1))," ")</f>
        <v xml:space="preserve"> </v>
      </c>
      <c r="Y894">
        <f>IFERROR(VLOOKUP(Проливка[[#This Row],[ID]]*1,'Срок хранения'!A894:B992,2,0),0)</f>
        <v>0</v>
      </c>
      <c r="Z894">
        <f>IFERROR(VLOOKUP(Проливка[[#This Row],[ID]]*1,'Срок хранения'!A894:C992,3,0),0)</f>
        <v>0</v>
      </c>
    </row>
    <row r="895" spans="1:26" x14ac:dyDescent="0.25">
      <c r="A895" s="9"/>
      <c r="B895" s="12" t="str">
        <f t="shared" si="53"/>
        <v xml:space="preserve"> </v>
      </c>
      <c r="C895" s="10" t="str">
        <f t="shared" si="52"/>
        <v xml:space="preserve"> </v>
      </c>
      <c r="D895" s="10">
        <f t="shared" si="54"/>
        <v>0</v>
      </c>
      <c r="E895" s="10">
        <f t="shared" si="55"/>
        <v>0</v>
      </c>
      <c r="W895" t="str">
        <f>IFERROR(MID(Проливка[[#This Row],[Штрихкод ]],1,FIND("-",Проливка[[#This Row],[Штрихкод ]],1)-1)," ")</f>
        <v xml:space="preserve"> </v>
      </c>
      <c r="X895" t="str">
        <f>IFERROR(RIGHT(Проливка[[#This Row],[Штрихкод ]],LEN(Проливка[[#This Row],[Штрихкод ]])-SEARCH("-",Проливка[[#This Row],[Штрихкод ]],1))," ")</f>
        <v xml:space="preserve"> </v>
      </c>
      <c r="Y895">
        <f>IFERROR(VLOOKUP(Проливка[[#This Row],[ID]]*1,'Срок хранения'!A895:B993,2,0),0)</f>
        <v>0</v>
      </c>
      <c r="Z895">
        <f>IFERROR(VLOOKUP(Проливка[[#This Row],[ID]]*1,'Срок хранения'!A895:C993,3,0),0)</f>
        <v>0</v>
      </c>
    </row>
    <row r="896" spans="1:26" x14ac:dyDescent="0.25">
      <c r="A896" s="9"/>
      <c r="B896" s="12" t="str">
        <f t="shared" si="53"/>
        <v xml:space="preserve"> </v>
      </c>
      <c r="C896" s="10" t="str">
        <f t="shared" si="52"/>
        <v xml:space="preserve"> </v>
      </c>
      <c r="D896" s="10">
        <f t="shared" si="54"/>
        <v>0</v>
      </c>
      <c r="E896" s="10">
        <f t="shared" si="55"/>
        <v>0</v>
      </c>
      <c r="W896" t="str">
        <f>IFERROR(MID(Проливка[[#This Row],[Штрихкод ]],1,FIND("-",Проливка[[#This Row],[Штрихкод ]],1)-1)," ")</f>
        <v xml:space="preserve"> </v>
      </c>
      <c r="X896" t="str">
        <f>IFERROR(RIGHT(Проливка[[#This Row],[Штрихкод ]],LEN(Проливка[[#This Row],[Штрихкод ]])-SEARCH("-",Проливка[[#This Row],[Штрихкод ]],1))," ")</f>
        <v xml:space="preserve"> </v>
      </c>
      <c r="Y896">
        <f>IFERROR(VLOOKUP(Проливка[[#This Row],[ID]]*1,'Срок хранения'!A896:B994,2,0),0)</f>
        <v>0</v>
      </c>
      <c r="Z896">
        <f>IFERROR(VLOOKUP(Проливка[[#This Row],[ID]]*1,'Срок хранения'!A896:C994,3,0),0)</f>
        <v>0</v>
      </c>
    </row>
    <row r="897" spans="1:26" x14ac:dyDescent="0.25">
      <c r="A897" s="9"/>
      <c r="B897" s="12" t="str">
        <f t="shared" si="53"/>
        <v xml:space="preserve"> </v>
      </c>
      <c r="C897" s="10" t="str">
        <f t="shared" si="52"/>
        <v xml:space="preserve"> </v>
      </c>
      <c r="D897" s="10">
        <f t="shared" si="54"/>
        <v>0</v>
      </c>
      <c r="E897" s="10">
        <f t="shared" si="55"/>
        <v>0</v>
      </c>
      <c r="W897" t="str">
        <f>IFERROR(MID(Проливка[[#This Row],[Штрихкод ]],1,FIND("-",Проливка[[#This Row],[Штрихкод ]],1)-1)," ")</f>
        <v xml:space="preserve"> </v>
      </c>
      <c r="X897" t="str">
        <f>IFERROR(RIGHT(Проливка[[#This Row],[Штрихкод ]],LEN(Проливка[[#This Row],[Штрихкод ]])-SEARCH("-",Проливка[[#This Row],[Штрихкод ]],1))," ")</f>
        <v xml:space="preserve"> </v>
      </c>
      <c r="Y897">
        <f>IFERROR(VLOOKUP(Проливка[[#This Row],[ID]]*1,'Срок хранения'!A897:B995,2,0),0)</f>
        <v>0</v>
      </c>
      <c r="Z897">
        <f>IFERROR(VLOOKUP(Проливка[[#This Row],[ID]]*1,'Срок хранения'!A897:C995,3,0),0)</f>
        <v>0</v>
      </c>
    </row>
    <row r="898" spans="1:26" x14ac:dyDescent="0.25">
      <c r="A898" s="9"/>
      <c r="B898" s="12" t="str">
        <f t="shared" si="53"/>
        <v xml:space="preserve"> </v>
      </c>
      <c r="C898" s="10" t="str">
        <f t="shared" ref="C898:C961" si="56">X898</f>
        <v xml:space="preserve"> </v>
      </c>
      <c r="D898" s="10">
        <f t="shared" si="54"/>
        <v>0</v>
      </c>
      <c r="E898" s="10">
        <f t="shared" si="55"/>
        <v>0</v>
      </c>
      <c r="W898" t="str">
        <f>IFERROR(MID(Проливка[[#This Row],[Штрихкод ]],1,FIND("-",Проливка[[#This Row],[Штрихкод ]],1)-1)," ")</f>
        <v xml:space="preserve"> </v>
      </c>
      <c r="X898" t="str">
        <f>IFERROR(RIGHT(Проливка[[#This Row],[Штрихкод ]],LEN(Проливка[[#This Row],[Штрихкод ]])-SEARCH("-",Проливка[[#This Row],[Штрихкод ]],1))," ")</f>
        <v xml:space="preserve"> </v>
      </c>
      <c r="Y898">
        <f>IFERROR(VLOOKUP(Проливка[[#This Row],[ID]]*1,'Срок хранения'!A898:B996,2,0),0)</f>
        <v>0</v>
      </c>
      <c r="Z898">
        <f>IFERROR(VLOOKUP(Проливка[[#This Row],[ID]]*1,'Срок хранения'!A898:C996,3,0),0)</f>
        <v>0</v>
      </c>
    </row>
    <row r="899" spans="1:26" x14ac:dyDescent="0.25">
      <c r="A899" s="9"/>
      <c r="B899" s="12" t="str">
        <f t="shared" ref="B899:B962" si="57">W899</f>
        <v xml:space="preserve"> </v>
      </c>
      <c r="C899" s="10" t="str">
        <f t="shared" si="56"/>
        <v xml:space="preserve"> </v>
      </c>
      <c r="D899" s="10">
        <f t="shared" ref="D899:D962" si="58">Y899</f>
        <v>0</v>
      </c>
      <c r="E899" s="10">
        <f t="shared" ref="E899:E962" si="59">Z899</f>
        <v>0</v>
      </c>
      <c r="W899" t="str">
        <f>IFERROR(MID(Проливка[[#This Row],[Штрихкод ]],1,FIND("-",Проливка[[#This Row],[Штрихкод ]],1)-1)," ")</f>
        <v xml:space="preserve"> </v>
      </c>
      <c r="X899" t="str">
        <f>IFERROR(RIGHT(Проливка[[#This Row],[Штрихкод ]],LEN(Проливка[[#This Row],[Штрихкод ]])-SEARCH("-",Проливка[[#This Row],[Штрихкод ]],1))," ")</f>
        <v xml:space="preserve"> </v>
      </c>
      <c r="Y899">
        <f>IFERROR(VLOOKUP(Проливка[[#This Row],[ID]]*1,'Срок хранения'!A899:B997,2,0),0)</f>
        <v>0</v>
      </c>
      <c r="Z899">
        <f>IFERROR(VLOOKUP(Проливка[[#This Row],[ID]]*1,'Срок хранения'!A899:C997,3,0),0)</f>
        <v>0</v>
      </c>
    </row>
    <row r="900" spans="1:26" x14ac:dyDescent="0.25">
      <c r="A900" s="9"/>
      <c r="B900" s="12" t="str">
        <f t="shared" si="57"/>
        <v xml:space="preserve"> </v>
      </c>
      <c r="C900" s="10" t="str">
        <f t="shared" si="56"/>
        <v xml:space="preserve"> </v>
      </c>
      <c r="D900" s="10">
        <f t="shared" si="58"/>
        <v>0</v>
      </c>
      <c r="E900" s="10">
        <f t="shared" si="59"/>
        <v>0</v>
      </c>
      <c r="W900" t="str">
        <f>IFERROR(MID(Проливка[[#This Row],[Штрихкод ]],1,FIND("-",Проливка[[#This Row],[Штрихкод ]],1)-1)," ")</f>
        <v xml:space="preserve"> </v>
      </c>
      <c r="X900" t="str">
        <f>IFERROR(RIGHT(Проливка[[#This Row],[Штрихкод ]],LEN(Проливка[[#This Row],[Штрихкод ]])-SEARCH("-",Проливка[[#This Row],[Штрихкод ]],1))," ")</f>
        <v xml:space="preserve"> </v>
      </c>
      <c r="Y900">
        <f>IFERROR(VLOOKUP(Проливка[[#This Row],[ID]]*1,'Срок хранения'!A900:B998,2,0),0)</f>
        <v>0</v>
      </c>
      <c r="Z900">
        <f>IFERROR(VLOOKUP(Проливка[[#This Row],[ID]]*1,'Срок хранения'!A900:C998,3,0),0)</f>
        <v>0</v>
      </c>
    </row>
    <row r="901" spans="1:26" x14ac:dyDescent="0.25">
      <c r="A901" s="9"/>
      <c r="B901" s="12" t="str">
        <f t="shared" si="57"/>
        <v xml:space="preserve"> </v>
      </c>
      <c r="C901" s="10" t="str">
        <f t="shared" si="56"/>
        <v xml:space="preserve"> </v>
      </c>
      <c r="D901" s="10">
        <f t="shared" si="58"/>
        <v>0</v>
      </c>
      <c r="E901" s="10">
        <f t="shared" si="59"/>
        <v>0</v>
      </c>
      <c r="W901" t="str">
        <f>IFERROR(MID(Проливка[[#This Row],[Штрихкод ]],1,FIND("-",Проливка[[#This Row],[Штрихкод ]],1)-1)," ")</f>
        <v xml:space="preserve"> </v>
      </c>
      <c r="X901" t="str">
        <f>IFERROR(RIGHT(Проливка[[#This Row],[Штрихкод ]],LEN(Проливка[[#This Row],[Штрихкод ]])-SEARCH("-",Проливка[[#This Row],[Штрихкод ]],1))," ")</f>
        <v xml:space="preserve"> </v>
      </c>
      <c r="Y901">
        <f>IFERROR(VLOOKUP(Проливка[[#This Row],[ID]]*1,'Срок хранения'!A901:B999,2,0),0)</f>
        <v>0</v>
      </c>
      <c r="Z901">
        <f>IFERROR(VLOOKUP(Проливка[[#This Row],[ID]]*1,'Срок хранения'!A901:C999,3,0),0)</f>
        <v>0</v>
      </c>
    </row>
    <row r="902" spans="1:26" x14ac:dyDescent="0.25">
      <c r="A902" s="9"/>
      <c r="B902" s="12" t="str">
        <f t="shared" si="57"/>
        <v xml:space="preserve"> </v>
      </c>
      <c r="C902" s="10" t="str">
        <f t="shared" si="56"/>
        <v xml:space="preserve"> </v>
      </c>
      <c r="D902" s="10">
        <f t="shared" si="58"/>
        <v>0</v>
      </c>
      <c r="E902" s="10">
        <f t="shared" si="59"/>
        <v>0</v>
      </c>
      <c r="W902" t="str">
        <f>IFERROR(MID(Проливка[[#This Row],[Штрихкод ]],1,FIND("-",Проливка[[#This Row],[Штрихкод ]],1)-1)," ")</f>
        <v xml:space="preserve"> </v>
      </c>
      <c r="X902" t="str">
        <f>IFERROR(RIGHT(Проливка[[#This Row],[Штрихкод ]],LEN(Проливка[[#This Row],[Штрихкод ]])-SEARCH("-",Проливка[[#This Row],[Штрихкод ]],1))," ")</f>
        <v xml:space="preserve"> </v>
      </c>
      <c r="Y902">
        <f>IFERROR(VLOOKUP(Проливка[[#This Row],[ID]]*1,'Срок хранения'!A902:B1000,2,0),0)</f>
        <v>0</v>
      </c>
      <c r="Z902">
        <f>IFERROR(VLOOKUP(Проливка[[#This Row],[ID]]*1,'Срок хранения'!A902:C1000,3,0),0)</f>
        <v>0</v>
      </c>
    </row>
    <row r="903" spans="1:26" x14ac:dyDescent="0.25">
      <c r="A903" s="9"/>
      <c r="B903" s="12" t="str">
        <f t="shared" si="57"/>
        <v xml:space="preserve"> </v>
      </c>
      <c r="C903" s="10" t="str">
        <f t="shared" si="56"/>
        <v xml:space="preserve"> </v>
      </c>
      <c r="D903" s="10">
        <f t="shared" si="58"/>
        <v>0</v>
      </c>
      <c r="E903" s="10">
        <f t="shared" si="59"/>
        <v>0</v>
      </c>
      <c r="W903" t="str">
        <f>IFERROR(MID(Проливка[[#This Row],[Штрихкод ]],1,FIND("-",Проливка[[#This Row],[Штрихкод ]],1)-1)," ")</f>
        <v xml:space="preserve"> </v>
      </c>
      <c r="X903" t="str">
        <f>IFERROR(RIGHT(Проливка[[#This Row],[Штрихкод ]],LEN(Проливка[[#This Row],[Штрихкод ]])-SEARCH("-",Проливка[[#This Row],[Штрихкод ]],1))," ")</f>
        <v xml:space="preserve"> </v>
      </c>
      <c r="Y903">
        <f>IFERROR(VLOOKUP(Проливка[[#This Row],[ID]]*1,'Срок хранения'!A903:B1001,2,0),0)</f>
        <v>0</v>
      </c>
      <c r="Z903">
        <f>IFERROR(VLOOKUP(Проливка[[#This Row],[ID]]*1,'Срок хранения'!A903:C1001,3,0),0)</f>
        <v>0</v>
      </c>
    </row>
    <row r="904" spans="1:26" x14ac:dyDescent="0.25">
      <c r="A904" s="9"/>
      <c r="B904" s="12" t="str">
        <f t="shared" si="57"/>
        <v xml:space="preserve"> </v>
      </c>
      <c r="C904" s="10" t="str">
        <f t="shared" si="56"/>
        <v xml:space="preserve"> </v>
      </c>
      <c r="D904" s="10">
        <f t="shared" si="58"/>
        <v>0</v>
      </c>
      <c r="E904" s="10">
        <f t="shared" si="59"/>
        <v>0</v>
      </c>
      <c r="W904" t="str">
        <f>IFERROR(MID(Проливка[[#This Row],[Штрихкод ]],1,FIND("-",Проливка[[#This Row],[Штрихкод ]],1)-1)," ")</f>
        <v xml:space="preserve"> </v>
      </c>
      <c r="X904" t="str">
        <f>IFERROR(RIGHT(Проливка[[#This Row],[Штрихкод ]],LEN(Проливка[[#This Row],[Штрихкод ]])-SEARCH("-",Проливка[[#This Row],[Штрихкод ]],1))," ")</f>
        <v xml:space="preserve"> </v>
      </c>
      <c r="Y904">
        <f>IFERROR(VLOOKUP(Проливка[[#This Row],[ID]]*1,'Срок хранения'!A904:B1002,2,0),0)</f>
        <v>0</v>
      </c>
      <c r="Z904">
        <f>IFERROR(VLOOKUP(Проливка[[#This Row],[ID]]*1,'Срок хранения'!A904:C1002,3,0),0)</f>
        <v>0</v>
      </c>
    </row>
    <row r="905" spans="1:26" x14ac:dyDescent="0.25">
      <c r="A905" s="9"/>
      <c r="B905" s="12" t="str">
        <f t="shared" si="57"/>
        <v xml:space="preserve"> </v>
      </c>
      <c r="C905" s="10" t="str">
        <f t="shared" si="56"/>
        <v xml:space="preserve"> </v>
      </c>
      <c r="D905" s="10">
        <f t="shared" si="58"/>
        <v>0</v>
      </c>
      <c r="E905" s="10">
        <f t="shared" si="59"/>
        <v>0</v>
      </c>
      <c r="W905" t="str">
        <f>IFERROR(MID(Проливка[[#This Row],[Штрихкод ]],1,FIND("-",Проливка[[#This Row],[Штрихкод ]],1)-1)," ")</f>
        <v xml:space="preserve"> </v>
      </c>
      <c r="X905" t="str">
        <f>IFERROR(RIGHT(Проливка[[#This Row],[Штрихкод ]],LEN(Проливка[[#This Row],[Штрихкод ]])-SEARCH("-",Проливка[[#This Row],[Штрихкод ]],1))," ")</f>
        <v xml:space="preserve"> </v>
      </c>
      <c r="Y905">
        <f>IFERROR(VLOOKUP(Проливка[[#This Row],[ID]]*1,'Срок хранения'!A905:B1003,2,0),0)</f>
        <v>0</v>
      </c>
      <c r="Z905">
        <f>IFERROR(VLOOKUP(Проливка[[#This Row],[ID]]*1,'Срок хранения'!A905:C1003,3,0),0)</f>
        <v>0</v>
      </c>
    </row>
    <row r="906" spans="1:26" x14ac:dyDescent="0.25">
      <c r="A906" s="9"/>
      <c r="B906" s="12" t="str">
        <f t="shared" si="57"/>
        <v xml:space="preserve"> </v>
      </c>
      <c r="C906" s="10" t="str">
        <f t="shared" si="56"/>
        <v xml:space="preserve"> </v>
      </c>
      <c r="D906" s="10">
        <f t="shared" si="58"/>
        <v>0</v>
      </c>
      <c r="E906" s="10">
        <f t="shared" si="59"/>
        <v>0</v>
      </c>
      <c r="W906" t="str">
        <f>IFERROR(MID(Проливка[[#This Row],[Штрихкод ]],1,FIND("-",Проливка[[#This Row],[Штрихкод ]],1)-1)," ")</f>
        <v xml:space="preserve"> </v>
      </c>
      <c r="X906" t="str">
        <f>IFERROR(RIGHT(Проливка[[#This Row],[Штрихкод ]],LEN(Проливка[[#This Row],[Штрихкод ]])-SEARCH("-",Проливка[[#This Row],[Штрихкод ]],1))," ")</f>
        <v xml:space="preserve"> </v>
      </c>
      <c r="Y906">
        <f>IFERROR(VLOOKUP(Проливка[[#This Row],[ID]]*1,'Срок хранения'!A906:B1004,2,0),0)</f>
        <v>0</v>
      </c>
      <c r="Z906">
        <f>IFERROR(VLOOKUP(Проливка[[#This Row],[ID]]*1,'Срок хранения'!A906:C1004,3,0),0)</f>
        <v>0</v>
      </c>
    </row>
    <row r="907" spans="1:26" x14ac:dyDescent="0.25">
      <c r="A907" s="9"/>
      <c r="B907" s="12" t="str">
        <f t="shared" si="57"/>
        <v xml:space="preserve"> </v>
      </c>
      <c r="C907" s="10" t="str">
        <f t="shared" si="56"/>
        <v xml:space="preserve"> </v>
      </c>
      <c r="D907" s="10">
        <f t="shared" si="58"/>
        <v>0</v>
      </c>
      <c r="E907" s="10">
        <f t="shared" si="59"/>
        <v>0</v>
      </c>
      <c r="W907" t="str">
        <f>IFERROR(MID(Проливка[[#This Row],[Штрихкод ]],1,FIND("-",Проливка[[#This Row],[Штрихкод ]],1)-1)," ")</f>
        <v xml:space="preserve"> </v>
      </c>
      <c r="X907" t="str">
        <f>IFERROR(RIGHT(Проливка[[#This Row],[Штрихкод ]],LEN(Проливка[[#This Row],[Штрихкод ]])-SEARCH("-",Проливка[[#This Row],[Штрихкод ]],1))," ")</f>
        <v xml:space="preserve"> </v>
      </c>
      <c r="Y907">
        <f>IFERROR(VLOOKUP(Проливка[[#This Row],[ID]]*1,'Срок хранения'!A907:B1005,2,0),0)</f>
        <v>0</v>
      </c>
      <c r="Z907">
        <f>IFERROR(VLOOKUP(Проливка[[#This Row],[ID]]*1,'Срок хранения'!A907:C1005,3,0),0)</f>
        <v>0</v>
      </c>
    </row>
    <row r="908" spans="1:26" x14ac:dyDescent="0.25">
      <c r="A908" s="9"/>
      <c r="B908" s="12" t="str">
        <f t="shared" si="57"/>
        <v xml:space="preserve"> </v>
      </c>
      <c r="C908" s="10" t="str">
        <f t="shared" si="56"/>
        <v xml:space="preserve"> </v>
      </c>
      <c r="D908" s="10">
        <f t="shared" si="58"/>
        <v>0</v>
      </c>
      <c r="E908" s="10">
        <f t="shared" si="59"/>
        <v>0</v>
      </c>
      <c r="W908" t="str">
        <f>IFERROR(MID(Проливка[[#This Row],[Штрихкод ]],1,FIND("-",Проливка[[#This Row],[Штрихкод ]],1)-1)," ")</f>
        <v xml:space="preserve"> </v>
      </c>
      <c r="X908" t="str">
        <f>IFERROR(RIGHT(Проливка[[#This Row],[Штрихкод ]],LEN(Проливка[[#This Row],[Штрихкод ]])-SEARCH("-",Проливка[[#This Row],[Штрихкод ]],1))," ")</f>
        <v xml:space="preserve"> </v>
      </c>
      <c r="Y908">
        <f>IFERROR(VLOOKUP(Проливка[[#This Row],[ID]]*1,'Срок хранения'!A908:B1006,2,0),0)</f>
        <v>0</v>
      </c>
      <c r="Z908">
        <f>IFERROR(VLOOKUP(Проливка[[#This Row],[ID]]*1,'Срок хранения'!A908:C1006,3,0),0)</f>
        <v>0</v>
      </c>
    </row>
    <row r="909" spans="1:26" x14ac:dyDescent="0.25">
      <c r="A909" s="9"/>
      <c r="B909" s="12" t="str">
        <f t="shared" si="57"/>
        <v xml:space="preserve"> </v>
      </c>
      <c r="C909" s="10" t="str">
        <f t="shared" si="56"/>
        <v xml:space="preserve"> </v>
      </c>
      <c r="D909" s="10">
        <f t="shared" si="58"/>
        <v>0</v>
      </c>
      <c r="E909" s="10">
        <f t="shared" si="59"/>
        <v>0</v>
      </c>
      <c r="W909" t="str">
        <f>IFERROR(MID(Проливка[[#This Row],[Штрихкод ]],1,FIND("-",Проливка[[#This Row],[Штрихкод ]],1)-1)," ")</f>
        <v xml:space="preserve"> </v>
      </c>
      <c r="X909" t="str">
        <f>IFERROR(RIGHT(Проливка[[#This Row],[Штрихкод ]],LEN(Проливка[[#This Row],[Штрихкод ]])-SEARCH("-",Проливка[[#This Row],[Штрихкод ]],1))," ")</f>
        <v xml:space="preserve"> </v>
      </c>
      <c r="Y909">
        <f>IFERROR(VLOOKUP(Проливка[[#This Row],[ID]]*1,'Срок хранения'!A909:B1007,2,0),0)</f>
        <v>0</v>
      </c>
      <c r="Z909">
        <f>IFERROR(VLOOKUP(Проливка[[#This Row],[ID]]*1,'Срок хранения'!A909:C1007,3,0),0)</f>
        <v>0</v>
      </c>
    </row>
    <row r="910" spans="1:26" x14ac:dyDescent="0.25">
      <c r="A910" s="9"/>
      <c r="B910" s="12" t="str">
        <f t="shared" si="57"/>
        <v xml:space="preserve"> </v>
      </c>
      <c r="C910" s="10" t="str">
        <f t="shared" si="56"/>
        <v xml:space="preserve"> </v>
      </c>
      <c r="D910" s="10">
        <f t="shared" si="58"/>
        <v>0</v>
      </c>
      <c r="E910" s="10">
        <f t="shared" si="59"/>
        <v>0</v>
      </c>
      <c r="W910" t="str">
        <f>IFERROR(MID(Проливка[[#This Row],[Штрихкод ]],1,FIND("-",Проливка[[#This Row],[Штрихкод ]],1)-1)," ")</f>
        <v xml:space="preserve"> </v>
      </c>
      <c r="X910" t="str">
        <f>IFERROR(RIGHT(Проливка[[#This Row],[Штрихкод ]],LEN(Проливка[[#This Row],[Штрихкод ]])-SEARCH("-",Проливка[[#This Row],[Штрихкод ]],1))," ")</f>
        <v xml:space="preserve"> </v>
      </c>
      <c r="Y910">
        <f>IFERROR(VLOOKUP(Проливка[[#This Row],[ID]]*1,'Срок хранения'!A910:B1008,2,0),0)</f>
        <v>0</v>
      </c>
      <c r="Z910">
        <f>IFERROR(VLOOKUP(Проливка[[#This Row],[ID]]*1,'Срок хранения'!A910:C1008,3,0),0)</f>
        <v>0</v>
      </c>
    </row>
    <row r="911" spans="1:26" x14ac:dyDescent="0.25">
      <c r="A911" s="9"/>
      <c r="B911" s="12" t="str">
        <f t="shared" si="57"/>
        <v xml:space="preserve"> </v>
      </c>
      <c r="C911" s="10" t="str">
        <f t="shared" si="56"/>
        <v xml:space="preserve"> </v>
      </c>
      <c r="D911" s="10">
        <f t="shared" si="58"/>
        <v>0</v>
      </c>
      <c r="E911" s="10">
        <f t="shared" si="59"/>
        <v>0</v>
      </c>
      <c r="W911" t="str">
        <f>IFERROR(MID(Проливка[[#This Row],[Штрихкод ]],1,FIND("-",Проливка[[#This Row],[Штрихкод ]],1)-1)," ")</f>
        <v xml:space="preserve"> </v>
      </c>
      <c r="X911" t="str">
        <f>IFERROR(RIGHT(Проливка[[#This Row],[Штрихкод ]],LEN(Проливка[[#This Row],[Штрихкод ]])-SEARCH("-",Проливка[[#This Row],[Штрихкод ]],1))," ")</f>
        <v xml:space="preserve"> </v>
      </c>
      <c r="Y911">
        <f>IFERROR(VLOOKUP(Проливка[[#This Row],[ID]]*1,'Срок хранения'!A911:B1009,2,0),0)</f>
        <v>0</v>
      </c>
      <c r="Z911">
        <f>IFERROR(VLOOKUP(Проливка[[#This Row],[ID]]*1,'Срок хранения'!A911:C1009,3,0),0)</f>
        <v>0</v>
      </c>
    </row>
    <row r="912" spans="1:26" x14ac:dyDescent="0.25">
      <c r="A912" s="9"/>
      <c r="B912" s="12" t="str">
        <f t="shared" si="57"/>
        <v xml:space="preserve"> </v>
      </c>
      <c r="C912" s="10" t="str">
        <f t="shared" si="56"/>
        <v xml:space="preserve"> </v>
      </c>
      <c r="D912" s="10">
        <f t="shared" si="58"/>
        <v>0</v>
      </c>
      <c r="E912" s="10">
        <f t="shared" si="59"/>
        <v>0</v>
      </c>
      <c r="W912" t="str">
        <f>IFERROR(MID(Проливка[[#This Row],[Штрихкод ]],1,FIND("-",Проливка[[#This Row],[Штрихкод ]],1)-1)," ")</f>
        <v xml:space="preserve"> </v>
      </c>
      <c r="X912" t="str">
        <f>IFERROR(RIGHT(Проливка[[#This Row],[Штрихкод ]],LEN(Проливка[[#This Row],[Штрихкод ]])-SEARCH("-",Проливка[[#This Row],[Штрихкод ]],1))," ")</f>
        <v xml:space="preserve"> </v>
      </c>
      <c r="Y912">
        <f>IFERROR(VLOOKUP(Проливка[[#This Row],[ID]]*1,'Срок хранения'!A912:B1010,2,0),0)</f>
        <v>0</v>
      </c>
      <c r="Z912">
        <f>IFERROR(VLOOKUP(Проливка[[#This Row],[ID]]*1,'Срок хранения'!A912:C1010,3,0),0)</f>
        <v>0</v>
      </c>
    </row>
    <row r="913" spans="1:26" x14ac:dyDescent="0.25">
      <c r="A913" s="9"/>
      <c r="B913" s="12" t="str">
        <f t="shared" si="57"/>
        <v xml:space="preserve"> </v>
      </c>
      <c r="C913" s="10" t="str">
        <f t="shared" si="56"/>
        <v xml:space="preserve"> </v>
      </c>
      <c r="D913" s="10">
        <f t="shared" si="58"/>
        <v>0</v>
      </c>
      <c r="E913" s="10">
        <f t="shared" si="59"/>
        <v>0</v>
      </c>
      <c r="W913" t="str">
        <f>IFERROR(MID(Проливка[[#This Row],[Штрихкод ]],1,FIND("-",Проливка[[#This Row],[Штрихкод ]],1)-1)," ")</f>
        <v xml:space="preserve"> </v>
      </c>
      <c r="X913" t="str">
        <f>IFERROR(RIGHT(Проливка[[#This Row],[Штрихкод ]],LEN(Проливка[[#This Row],[Штрихкод ]])-SEARCH("-",Проливка[[#This Row],[Штрихкод ]],1))," ")</f>
        <v xml:space="preserve"> </v>
      </c>
      <c r="Y913">
        <f>IFERROR(VLOOKUP(Проливка[[#This Row],[ID]]*1,'Срок хранения'!A913:B1011,2,0),0)</f>
        <v>0</v>
      </c>
      <c r="Z913">
        <f>IFERROR(VLOOKUP(Проливка[[#This Row],[ID]]*1,'Срок хранения'!A913:C1011,3,0),0)</f>
        <v>0</v>
      </c>
    </row>
    <row r="914" spans="1:26" x14ac:dyDescent="0.25">
      <c r="A914" s="9"/>
      <c r="B914" s="12" t="str">
        <f t="shared" si="57"/>
        <v xml:space="preserve"> </v>
      </c>
      <c r="C914" s="10" t="str">
        <f t="shared" si="56"/>
        <v xml:space="preserve"> </v>
      </c>
      <c r="D914" s="10">
        <f t="shared" si="58"/>
        <v>0</v>
      </c>
      <c r="E914" s="10">
        <f t="shared" si="59"/>
        <v>0</v>
      </c>
      <c r="W914" t="str">
        <f>IFERROR(MID(Проливка[[#This Row],[Штрихкод ]],1,FIND("-",Проливка[[#This Row],[Штрихкод ]],1)-1)," ")</f>
        <v xml:space="preserve"> </v>
      </c>
      <c r="X914" t="str">
        <f>IFERROR(RIGHT(Проливка[[#This Row],[Штрихкод ]],LEN(Проливка[[#This Row],[Штрихкод ]])-SEARCH("-",Проливка[[#This Row],[Штрихкод ]],1))," ")</f>
        <v xml:space="preserve"> </v>
      </c>
      <c r="Y914">
        <f>IFERROR(VLOOKUP(Проливка[[#This Row],[ID]]*1,'Срок хранения'!A914:B1012,2,0),0)</f>
        <v>0</v>
      </c>
      <c r="Z914">
        <f>IFERROR(VLOOKUP(Проливка[[#This Row],[ID]]*1,'Срок хранения'!A914:C1012,3,0),0)</f>
        <v>0</v>
      </c>
    </row>
    <row r="915" spans="1:26" x14ac:dyDescent="0.25">
      <c r="A915" s="9"/>
      <c r="B915" s="12" t="str">
        <f t="shared" si="57"/>
        <v xml:space="preserve"> </v>
      </c>
      <c r="C915" s="10" t="str">
        <f t="shared" si="56"/>
        <v xml:space="preserve"> </v>
      </c>
      <c r="D915" s="10">
        <f t="shared" si="58"/>
        <v>0</v>
      </c>
      <c r="E915" s="10">
        <f t="shared" si="59"/>
        <v>0</v>
      </c>
      <c r="W915" t="str">
        <f>IFERROR(MID(Проливка[[#This Row],[Штрихкод ]],1,FIND("-",Проливка[[#This Row],[Штрихкод ]],1)-1)," ")</f>
        <v xml:space="preserve"> </v>
      </c>
      <c r="X915" t="str">
        <f>IFERROR(RIGHT(Проливка[[#This Row],[Штрихкод ]],LEN(Проливка[[#This Row],[Штрихкод ]])-SEARCH("-",Проливка[[#This Row],[Штрихкод ]],1))," ")</f>
        <v xml:space="preserve"> </v>
      </c>
      <c r="Y915">
        <f>IFERROR(VLOOKUP(Проливка[[#This Row],[ID]]*1,'Срок хранения'!A915:B1013,2,0),0)</f>
        <v>0</v>
      </c>
      <c r="Z915">
        <f>IFERROR(VLOOKUP(Проливка[[#This Row],[ID]]*1,'Срок хранения'!A915:C1013,3,0),0)</f>
        <v>0</v>
      </c>
    </row>
    <row r="916" spans="1:26" x14ac:dyDescent="0.25">
      <c r="A916" s="9"/>
      <c r="B916" s="12" t="str">
        <f t="shared" si="57"/>
        <v xml:space="preserve"> </v>
      </c>
      <c r="C916" s="10" t="str">
        <f t="shared" si="56"/>
        <v xml:space="preserve"> </v>
      </c>
      <c r="D916" s="10">
        <f t="shared" si="58"/>
        <v>0</v>
      </c>
      <c r="E916" s="10">
        <f t="shared" si="59"/>
        <v>0</v>
      </c>
      <c r="W916" t="str">
        <f>IFERROR(MID(Проливка[[#This Row],[Штрихкод ]],1,FIND("-",Проливка[[#This Row],[Штрихкод ]],1)-1)," ")</f>
        <v xml:space="preserve"> </v>
      </c>
      <c r="X916" t="str">
        <f>IFERROR(RIGHT(Проливка[[#This Row],[Штрихкод ]],LEN(Проливка[[#This Row],[Штрихкод ]])-SEARCH("-",Проливка[[#This Row],[Штрихкод ]],1))," ")</f>
        <v xml:space="preserve"> </v>
      </c>
      <c r="Y916">
        <f>IFERROR(VLOOKUP(Проливка[[#This Row],[ID]]*1,'Срок хранения'!A916:B1014,2,0),0)</f>
        <v>0</v>
      </c>
      <c r="Z916">
        <f>IFERROR(VLOOKUP(Проливка[[#This Row],[ID]]*1,'Срок хранения'!A916:C1014,3,0),0)</f>
        <v>0</v>
      </c>
    </row>
    <row r="917" spans="1:26" x14ac:dyDescent="0.25">
      <c r="A917" s="9"/>
      <c r="B917" s="12" t="str">
        <f t="shared" si="57"/>
        <v xml:space="preserve"> </v>
      </c>
      <c r="C917" s="10" t="str">
        <f t="shared" si="56"/>
        <v xml:space="preserve"> </v>
      </c>
      <c r="D917" s="10">
        <f t="shared" si="58"/>
        <v>0</v>
      </c>
      <c r="E917" s="10">
        <f t="shared" si="59"/>
        <v>0</v>
      </c>
      <c r="W917" t="str">
        <f>IFERROR(MID(Проливка[[#This Row],[Штрихкод ]],1,FIND("-",Проливка[[#This Row],[Штрихкод ]],1)-1)," ")</f>
        <v xml:space="preserve"> </v>
      </c>
      <c r="X917" t="str">
        <f>IFERROR(RIGHT(Проливка[[#This Row],[Штрихкод ]],LEN(Проливка[[#This Row],[Штрихкод ]])-SEARCH("-",Проливка[[#This Row],[Штрихкод ]],1))," ")</f>
        <v xml:space="preserve"> </v>
      </c>
      <c r="Y917">
        <f>IFERROR(VLOOKUP(Проливка[[#This Row],[ID]]*1,'Срок хранения'!A917:B1015,2,0),0)</f>
        <v>0</v>
      </c>
      <c r="Z917">
        <f>IFERROR(VLOOKUP(Проливка[[#This Row],[ID]]*1,'Срок хранения'!A917:C1015,3,0),0)</f>
        <v>0</v>
      </c>
    </row>
    <row r="918" spans="1:26" x14ac:dyDescent="0.25">
      <c r="A918" s="9"/>
      <c r="B918" s="12" t="str">
        <f t="shared" si="57"/>
        <v xml:space="preserve"> </v>
      </c>
      <c r="C918" s="10" t="str">
        <f t="shared" si="56"/>
        <v xml:space="preserve"> </v>
      </c>
      <c r="D918" s="10">
        <f t="shared" si="58"/>
        <v>0</v>
      </c>
      <c r="E918" s="10">
        <f t="shared" si="59"/>
        <v>0</v>
      </c>
      <c r="W918" t="str">
        <f>IFERROR(MID(Проливка[[#This Row],[Штрихкод ]],1,FIND("-",Проливка[[#This Row],[Штрихкод ]],1)-1)," ")</f>
        <v xml:space="preserve"> </v>
      </c>
      <c r="X918" t="str">
        <f>IFERROR(RIGHT(Проливка[[#This Row],[Штрихкод ]],LEN(Проливка[[#This Row],[Штрихкод ]])-SEARCH("-",Проливка[[#This Row],[Штрихкод ]],1))," ")</f>
        <v xml:space="preserve"> </v>
      </c>
      <c r="Y918">
        <f>IFERROR(VLOOKUP(Проливка[[#This Row],[ID]]*1,'Срок хранения'!A918:B1016,2,0),0)</f>
        <v>0</v>
      </c>
      <c r="Z918">
        <f>IFERROR(VLOOKUP(Проливка[[#This Row],[ID]]*1,'Срок хранения'!A918:C1016,3,0),0)</f>
        <v>0</v>
      </c>
    </row>
    <row r="919" spans="1:26" x14ac:dyDescent="0.25">
      <c r="A919" s="9"/>
      <c r="B919" s="12" t="str">
        <f t="shared" si="57"/>
        <v xml:space="preserve"> </v>
      </c>
      <c r="C919" s="10" t="str">
        <f t="shared" si="56"/>
        <v xml:space="preserve"> </v>
      </c>
      <c r="D919" s="10">
        <f t="shared" si="58"/>
        <v>0</v>
      </c>
      <c r="E919" s="10">
        <f t="shared" si="59"/>
        <v>0</v>
      </c>
      <c r="W919" t="str">
        <f>IFERROR(MID(Проливка[[#This Row],[Штрихкод ]],1,FIND("-",Проливка[[#This Row],[Штрихкод ]],1)-1)," ")</f>
        <v xml:space="preserve"> </v>
      </c>
      <c r="X919" t="str">
        <f>IFERROR(RIGHT(Проливка[[#This Row],[Штрихкод ]],LEN(Проливка[[#This Row],[Штрихкод ]])-SEARCH("-",Проливка[[#This Row],[Штрихкод ]],1))," ")</f>
        <v xml:space="preserve"> </v>
      </c>
      <c r="Y919">
        <f>IFERROR(VLOOKUP(Проливка[[#This Row],[ID]]*1,'Срок хранения'!A919:B1017,2,0),0)</f>
        <v>0</v>
      </c>
      <c r="Z919">
        <f>IFERROR(VLOOKUP(Проливка[[#This Row],[ID]]*1,'Срок хранения'!A919:C1017,3,0),0)</f>
        <v>0</v>
      </c>
    </row>
    <row r="920" spans="1:26" x14ac:dyDescent="0.25">
      <c r="A920" s="9"/>
      <c r="B920" s="12" t="str">
        <f t="shared" si="57"/>
        <v xml:space="preserve"> </v>
      </c>
      <c r="C920" s="10" t="str">
        <f t="shared" si="56"/>
        <v xml:space="preserve"> </v>
      </c>
      <c r="D920" s="10">
        <f t="shared" si="58"/>
        <v>0</v>
      </c>
      <c r="E920" s="10">
        <f t="shared" si="59"/>
        <v>0</v>
      </c>
      <c r="W920" t="str">
        <f>IFERROR(MID(Проливка[[#This Row],[Штрихкод ]],1,FIND("-",Проливка[[#This Row],[Штрихкод ]],1)-1)," ")</f>
        <v xml:space="preserve"> </v>
      </c>
      <c r="X920" t="str">
        <f>IFERROR(RIGHT(Проливка[[#This Row],[Штрихкод ]],LEN(Проливка[[#This Row],[Штрихкод ]])-SEARCH("-",Проливка[[#This Row],[Штрихкод ]],1))," ")</f>
        <v xml:space="preserve"> </v>
      </c>
      <c r="Y920">
        <f>IFERROR(VLOOKUP(Проливка[[#This Row],[ID]]*1,'Срок хранения'!A920:B1018,2,0),0)</f>
        <v>0</v>
      </c>
      <c r="Z920">
        <f>IFERROR(VLOOKUP(Проливка[[#This Row],[ID]]*1,'Срок хранения'!A920:C1018,3,0),0)</f>
        <v>0</v>
      </c>
    </row>
    <row r="921" spans="1:26" x14ac:dyDescent="0.25">
      <c r="A921" s="9"/>
      <c r="B921" s="12" t="str">
        <f t="shared" si="57"/>
        <v xml:space="preserve"> </v>
      </c>
      <c r="C921" s="10" t="str">
        <f t="shared" si="56"/>
        <v xml:space="preserve"> </v>
      </c>
      <c r="D921" s="10">
        <f t="shared" si="58"/>
        <v>0</v>
      </c>
      <c r="E921" s="10">
        <f t="shared" si="59"/>
        <v>0</v>
      </c>
      <c r="W921" t="str">
        <f>IFERROR(MID(Проливка[[#This Row],[Штрихкод ]],1,FIND("-",Проливка[[#This Row],[Штрихкод ]],1)-1)," ")</f>
        <v xml:space="preserve"> </v>
      </c>
      <c r="X921" t="str">
        <f>IFERROR(RIGHT(Проливка[[#This Row],[Штрихкод ]],LEN(Проливка[[#This Row],[Штрихкод ]])-SEARCH("-",Проливка[[#This Row],[Штрихкод ]],1))," ")</f>
        <v xml:space="preserve"> </v>
      </c>
      <c r="Y921">
        <f>IFERROR(VLOOKUP(Проливка[[#This Row],[ID]]*1,'Срок хранения'!A921:B1019,2,0),0)</f>
        <v>0</v>
      </c>
      <c r="Z921">
        <f>IFERROR(VLOOKUP(Проливка[[#This Row],[ID]]*1,'Срок хранения'!A921:C1019,3,0),0)</f>
        <v>0</v>
      </c>
    </row>
    <row r="922" spans="1:26" x14ac:dyDescent="0.25">
      <c r="A922" s="9"/>
      <c r="B922" s="12" t="str">
        <f t="shared" si="57"/>
        <v xml:space="preserve"> </v>
      </c>
      <c r="C922" s="10" t="str">
        <f t="shared" si="56"/>
        <v xml:space="preserve"> </v>
      </c>
      <c r="D922" s="10">
        <f t="shared" si="58"/>
        <v>0</v>
      </c>
      <c r="E922" s="10">
        <f t="shared" si="59"/>
        <v>0</v>
      </c>
      <c r="W922" t="str">
        <f>IFERROR(MID(Проливка[[#This Row],[Штрихкод ]],1,FIND("-",Проливка[[#This Row],[Штрихкод ]],1)-1)," ")</f>
        <v xml:space="preserve"> </v>
      </c>
      <c r="X922" t="str">
        <f>IFERROR(RIGHT(Проливка[[#This Row],[Штрихкод ]],LEN(Проливка[[#This Row],[Штрихкод ]])-SEARCH("-",Проливка[[#This Row],[Штрихкод ]],1))," ")</f>
        <v xml:space="preserve"> </v>
      </c>
      <c r="Y922">
        <f>IFERROR(VLOOKUP(Проливка[[#This Row],[ID]]*1,'Срок хранения'!A922:B1020,2,0),0)</f>
        <v>0</v>
      </c>
      <c r="Z922">
        <f>IFERROR(VLOOKUP(Проливка[[#This Row],[ID]]*1,'Срок хранения'!A922:C1020,3,0),0)</f>
        <v>0</v>
      </c>
    </row>
    <row r="923" spans="1:26" x14ac:dyDescent="0.25">
      <c r="A923" s="9"/>
      <c r="B923" s="12" t="str">
        <f t="shared" si="57"/>
        <v xml:space="preserve"> </v>
      </c>
      <c r="C923" s="10" t="str">
        <f t="shared" si="56"/>
        <v xml:space="preserve"> </v>
      </c>
      <c r="D923" s="10">
        <f t="shared" si="58"/>
        <v>0</v>
      </c>
      <c r="E923" s="10">
        <f t="shared" si="59"/>
        <v>0</v>
      </c>
      <c r="W923" t="str">
        <f>IFERROR(MID(Проливка[[#This Row],[Штрихкод ]],1,FIND("-",Проливка[[#This Row],[Штрихкод ]],1)-1)," ")</f>
        <v xml:space="preserve"> </v>
      </c>
      <c r="X923" t="str">
        <f>IFERROR(RIGHT(Проливка[[#This Row],[Штрихкод ]],LEN(Проливка[[#This Row],[Штрихкод ]])-SEARCH("-",Проливка[[#This Row],[Штрихкод ]],1))," ")</f>
        <v xml:space="preserve"> </v>
      </c>
      <c r="Y923">
        <f>IFERROR(VLOOKUP(Проливка[[#This Row],[ID]]*1,'Срок хранения'!A923:B1021,2,0),0)</f>
        <v>0</v>
      </c>
      <c r="Z923">
        <f>IFERROR(VLOOKUP(Проливка[[#This Row],[ID]]*1,'Срок хранения'!A923:C1021,3,0),0)</f>
        <v>0</v>
      </c>
    </row>
    <row r="924" spans="1:26" x14ac:dyDescent="0.25">
      <c r="A924" s="9"/>
      <c r="B924" s="12" t="str">
        <f t="shared" si="57"/>
        <v xml:space="preserve"> </v>
      </c>
      <c r="C924" s="10" t="str">
        <f t="shared" si="56"/>
        <v xml:space="preserve"> </v>
      </c>
      <c r="D924" s="10">
        <f t="shared" si="58"/>
        <v>0</v>
      </c>
      <c r="E924" s="10">
        <f t="shared" si="59"/>
        <v>0</v>
      </c>
      <c r="W924" t="str">
        <f>IFERROR(MID(Проливка[[#This Row],[Штрихкод ]],1,FIND("-",Проливка[[#This Row],[Штрихкод ]],1)-1)," ")</f>
        <v xml:space="preserve"> </v>
      </c>
      <c r="X924" t="str">
        <f>IFERROR(RIGHT(Проливка[[#This Row],[Штрихкод ]],LEN(Проливка[[#This Row],[Штрихкод ]])-SEARCH("-",Проливка[[#This Row],[Штрихкод ]],1))," ")</f>
        <v xml:space="preserve"> </v>
      </c>
      <c r="Y924">
        <f>IFERROR(VLOOKUP(Проливка[[#This Row],[ID]]*1,'Срок хранения'!A924:B1022,2,0),0)</f>
        <v>0</v>
      </c>
      <c r="Z924">
        <f>IFERROR(VLOOKUP(Проливка[[#This Row],[ID]]*1,'Срок хранения'!A924:C1022,3,0),0)</f>
        <v>0</v>
      </c>
    </row>
    <row r="925" spans="1:26" x14ac:dyDescent="0.25">
      <c r="A925" s="9"/>
      <c r="B925" s="12" t="str">
        <f t="shared" si="57"/>
        <v xml:space="preserve"> </v>
      </c>
      <c r="C925" s="10" t="str">
        <f t="shared" si="56"/>
        <v xml:space="preserve"> </v>
      </c>
      <c r="D925" s="10">
        <f t="shared" si="58"/>
        <v>0</v>
      </c>
      <c r="E925" s="10">
        <f t="shared" si="59"/>
        <v>0</v>
      </c>
      <c r="W925" t="str">
        <f>IFERROR(MID(Проливка[[#This Row],[Штрихкод ]],1,FIND("-",Проливка[[#This Row],[Штрихкод ]],1)-1)," ")</f>
        <v xml:space="preserve"> </v>
      </c>
      <c r="X925" t="str">
        <f>IFERROR(RIGHT(Проливка[[#This Row],[Штрихкод ]],LEN(Проливка[[#This Row],[Штрихкод ]])-SEARCH("-",Проливка[[#This Row],[Штрихкод ]],1))," ")</f>
        <v xml:space="preserve"> </v>
      </c>
      <c r="Y925">
        <f>IFERROR(VLOOKUP(Проливка[[#This Row],[ID]]*1,'Срок хранения'!A925:B1023,2,0),0)</f>
        <v>0</v>
      </c>
      <c r="Z925">
        <f>IFERROR(VLOOKUP(Проливка[[#This Row],[ID]]*1,'Срок хранения'!A925:C1023,3,0),0)</f>
        <v>0</v>
      </c>
    </row>
    <row r="926" spans="1:26" x14ac:dyDescent="0.25">
      <c r="A926" s="9"/>
      <c r="B926" s="12" t="str">
        <f t="shared" si="57"/>
        <v xml:space="preserve"> </v>
      </c>
      <c r="C926" s="10" t="str">
        <f t="shared" si="56"/>
        <v xml:space="preserve"> </v>
      </c>
      <c r="D926" s="10">
        <f t="shared" si="58"/>
        <v>0</v>
      </c>
      <c r="E926" s="10">
        <f t="shared" si="59"/>
        <v>0</v>
      </c>
      <c r="W926" t="str">
        <f>IFERROR(MID(Проливка[[#This Row],[Штрихкод ]],1,FIND("-",Проливка[[#This Row],[Штрихкод ]],1)-1)," ")</f>
        <v xml:space="preserve"> </v>
      </c>
      <c r="X926" t="str">
        <f>IFERROR(RIGHT(Проливка[[#This Row],[Штрихкод ]],LEN(Проливка[[#This Row],[Штрихкод ]])-SEARCH("-",Проливка[[#This Row],[Штрихкод ]],1))," ")</f>
        <v xml:space="preserve"> </v>
      </c>
      <c r="Y926">
        <f>IFERROR(VLOOKUP(Проливка[[#This Row],[ID]]*1,'Срок хранения'!A926:B1024,2,0),0)</f>
        <v>0</v>
      </c>
      <c r="Z926">
        <f>IFERROR(VLOOKUP(Проливка[[#This Row],[ID]]*1,'Срок хранения'!A926:C1024,3,0),0)</f>
        <v>0</v>
      </c>
    </row>
    <row r="927" spans="1:26" x14ac:dyDescent="0.25">
      <c r="A927" s="9"/>
      <c r="B927" s="12" t="str">
        <f t="shared" si="57"/>
        <v xml:space="preserve"> </v>
      </c>
      <c r="C927" s="10" t="str">
        <f t="shared" si="56"/>
        <v xml:space="preserve"> </v>
      </c>
      <c r="D927" s="10">
        <f t="shared" si="58"/>
        <v>0</v>
      </c>
      <c r="E927" s="10">
        <f t="shared" si="59"/>
        <v>0</v>
      </c>
      <c r="W927" t="str">
        <f>IFERROR(MID(Проливка[[#This Row],[Штрихкод ]],1,FIND("-",Проливка[[#This Row],[Штрихкод ]],1)-1)," ")</f>
        <v xml:space="preserve"> </v>
      </c>
      <c r="X927" t="str">
        <f>IFERROR(RIGHT(Проливка[[#This Row],[Штрихкод ]],LEN(Проливка[[#This Row],[Штрихкод ]])-SEARCH("-",Проливка[[#This Row],[Штрихкод ]],1))," ")</f>
        <v xml:space="preserve"> </v>
      </c>
      <c r="Y927">
        <f>IFERROR(VLOOKUP(Проливка[[#This Row],[ID]]*1,'Срок хранения'!A927:B1025,2,0),0)</f>
        <v>0</v>
      </c>
      <c r="Z927">
        <f>IFERROR(VLOOKUP(Проливка[[#This Row],[ID]]*1,'Срок хранения'!A927:C1025,3,0),0)</f>
        <v>0</v>
      </c>
    </row>
    <row r="928" spans="1:26" x14ac:dyDescent="0.25">
      <c r="A928" s="9"/>
      <c r="B928" s="12" t="str">
        <f t="shared" si="57"/>
        <v xml:space="preserve"> </v>
      </c>
      <c r="C928" s="10" t="str">
        <f t="shared" si="56"/>
        <v xml:space="preserve"> </v>
      </c>
      <c r="D928" s="10">
        <f t="shared" si="58"/>
        <v>0</v>
      </c>
      <c r="E928" s="10">
        <f t="shared" si="59"/>
        <v>0</v>
      </c>
      <c r="W928" t="str">
        <f>IFERROR(MID(Проливка[[#This Row],[Штрихкод ]],1,FIND("-",Проливка[[#This Row],[Штрихкод ]],1)-1)," ")</f>
        <v xml:space="preserve"> </v>
      </c>
      <c r="X928" t="str">
        <f>IFERROR(RIGHT(Проливка[[#This Row],[Штрихкод ]],LEN(Проливка[[#This Row],[Штрихкод ]])-SEARCH("-",Проливка[[#This Row],[Штрихкод ]],1))," ")</f>
        <v xml:space="preserve"> </v>
      </c>
      <c r="Y928">
        <f>IFERROR(VLOOKUP(Проливка[[#This Row],[ID]]*1,'Срок хранения'!A928:B1026,2,0),0)</f>
        <v>0</v>
      </c>
      <c r="Z928">
        <f>IFERROR(VLOOKUP(Проливка[[#This Row],[ID]]*1,'Срок хранения'!A928:C1026,3,0),0)</f>
        <v>0</v>
      </c>
    </row>
    <row r="929" spans="1:26" x14ac:dyDescent="0.25">
      <c r="A929" s="9"/>
      <c r="B929" s="12" t="str">
        <f t="shared" si="57"/>
        <v xml:space="preserve"> </v>
      </c>
      <c r="C929" s="10" t="str">
        <f t="shared" si="56"/>
        <v xml:space="preserve"> </v>
      </c>
      <c r="D929" s="10">
        <f t="shared" si="58"/>
        <v>0</v>
      </c>
      <c r="E929" s="10">
        <f t="shared" si="59"/>
        <v>0</v>
      </c>
      <c r="W929" t="str">
        <f>IFERROR(MID(Проливка[[#This Row],[Штрихкод ]],1,FIND("-",Проливка[[#This Row],[Штрихкод ]],1)-1)," ")</f>
        <v xml:space="preserve"> </v>
      </c>
      <c r="X929" t="str">
        <f>IFERROR(RIGHT(Проливка[[#This Row],[Штрихкод ]],LEN(Проливка[[#This Row],[Штрихкод ]])-SEARCH("-",Проливка[[#This Row],[Штрихкод ]],1))," ")</f>
        <v xml:space="preserve"> </v>
      </c>
      <c r="Y929">
        <f>IFERROR(VLOOKUP(Проливка[[#This Row],[ID]]*1,'Срок хранения'!A929:B1027,2,0),0)</f>
        <v>0</v>
      </c>
      <c r="Z929">
        <f>IFERROR(VLOOKUP(Проливка[[#This Row],[ID]]*1,'Срок хранения'!A929:C1027,3,0),0)</f>
        <v>0</v>
      </c>
    </row>
    <row r="930" spans="1:26" x14ac:dyDescent="0.25">
      <c r="A930" s="9"/>
      <c r="B930" s="12" t="str">
        <f t="shared" si="57"/>
        <v xml:space="preserve"> </v>
      </c>
      <c r="C930" s="10" t="str">
        <f t="shared" si="56"/>
        <v xml:space="preserve"> </v>
      </c>
      <c r="D930" s="10">
        <f t="shared" si="58"/>
        <v>0</v>
      </c>
      <c r="E930" s="10">
        <f t="shared" si="59"/>
        <v>0</v>
      </c>
      <c r="W930" t="str">
        <f>IFERROR(MID(Проливка[[#This Row],[Штрихкод ]],1,FIND("-",Проливка[[#This Row],[Штрихкод ]],1)-1)," ")</f>
        <v xml:space="preserve"> </v>
      </c>
      <c r="X930" t="str">
        <f>IFERROR(RIGHT(Проливка[[#This Row],[Штрихкод ]],LEN(Проливка[[#This Row],[Штрихкод ]])-SEARCH("-",Проливка[[#This Row],[Штрихкод ]],1))," ")</f>
        <v xml:space="preserve"> </v>
      </c>
      <c r="Y930">
        <f>IFERROR(VLOOKUP(Проливка[[#This Row],[ID]]*1,'Срок хранения'!A930:B1028,2,0),0)</f>
        <v>0</v>
      </c>
      <c r="Z930">
        <f>IFERROR(VLOOKUP(Проливка[[#This Row],[ID]]*1,'Срок хранения'!A930:C1028,3,0),0)</f>
        <v>0</v>
      </c>
    </row>
    <row r="931" spans="1:26" x14ac:dyDescent="0.25">
      <c r="A931" s="9"/>
      <c r="B931" s="12" t="str">
        <f t="shared" si="57"/>
        <v xml:space="preserve"> </v>
      </c>
      <c r="C931" s="10" t="str">
        <f t="shared" si="56"/>
        <v xml:space="preserve"> </v>
      </c>
      <c r="D931" s="10">
        <f t="shared" si="58"/>
        <v>0</v>
      </c>
      <c r="E931" s="10">
        <f t="shared" si="59"/>
        <v>0</v>
      </c>
      <c r="W931" t="str">
        <f>IFERROR(MID(Проливка[[#This Row],[Штрихкод ]],1,FIND("-",Проливка[[#This Row],[Штрихкод ]],1)-1)," ")</f>
        <v xml:space="preserve"> </v>
      </c>
      <c r="X931" t="str">
        <f>IFERROR(RIGHT(Проливка[[#This Row],[Штрихкод ]],LEN(Проливка[[#This Row],[Штрихкод ]])-SEARCH("-",Проливка[[#This Row],[Штрихкод ]],1))," ")</f>
        <v xml:space="preserve"> </v>
      </c>
      <c r="Y931">
        <f>IFERROR(VLOOKUP(Проливка[[#This Row],[ID]]*1,'Срок хранения'!A931:B1029,2,0),0)</f>
        <v>0</v>
      </c>
      <c r="Z931">
        <f>IFERROR(VLOOKUP(Проливка[[#This Row],[ID]]*1,'Срок хранения'!A931:C1029,3,0),0)</f>
        <v>0</v>
      </c>
    </row>
    <row r="932" spans="1:26" x14ac:dyDescent="0.25">
      <c r="A932" s="9"/>
      <c r="B932" s="12" t="str">
        <f t="shared" si="57"/>
        <v xml:space="preserve"> </v>
      </c>
      <c r="C932" s="10" t="str">
        <f t="shared" si="56"/>
        <v xml:space="preserve"> </v>
      </c>
      <c r="D932" s="10">
        <f t="shared" si="58"/>
        <v>0</v>
      </c>
      <c r="E932" s="10">
        <f t="shared" si="59"/>
        <v>0</v>
      </c>
      <c r="W932" t="str">
        <f>IFERROR(MID(Проливка[[#This Row],[Штрихкод ]],1,FIND("-",Проливка[[#This Row],[Штрихкод ]],1)-1)," ")</f>
        <v xml:space="preserve"> </v>
      </c>
      <c r="X932" t="str">
        <f>IFERROR(RIGHT(Проливка[[#This Row],[Штрихкод ]],LEN(Проливка[[#This Row],[Штрихкод ]])-SEARCH("-",Проливка[[#This Row],[Штрихкод ]],1))," ")</f>
        <v xml:space="preserve"> </v>
      </c>
      <c r="Y932">
        <f>IFERROR(VLOOKUP(Проливка[[#This Row],[ID]]*1,'Срок хранения'!A932:B1030,2,0),0)</f>
        <v>0</v>
      </c>
      <c r="Z932">
        <f>IFERROR(VLOOKUP(Проливка[[#This Row],[ID]]*1,'Срок хранения'!A932:C1030,3,0),0)</f>
        <v>0</v>
      </c>
    </row>
    <row r="933" spans="1:26" x14ac:dyDescent="0.25">
      <c r="A933" s="9"/>
      <c r="B933" s="12" t="str">
        <f t="shared" si="57"/>
        <v xml:space="preserve"> </v>
      </c>
      <c r="C933" s="10" t="str">
        <f t="shared" si="56"/>
        <v xml:space="preserve"> </v>
      </c>
      <c r="D933" s="10">
        <f t="shared" si="58"/>
        <v>0</v>
      </c>
      <c r="E933" s="10">
        <f t="shared" si="59"/>
        <v>0</v>
      </c>
      <c r="W933" t="str">
        <f>IFERROR(MID(Проливка[[#This Row],[Штрихкод ]],1,FIND("-",Проливка[[#This Row],[Штрихкод ]],1)-1)," ")</f>
        <v xml:space="preserve"> </v>
      </c>
      <c r="X933" t="str">
        <f>IFERROR(RIGHT(Проливка[[#This Row],[Штрихкод ]],LEN(Проливка[[#This Row],[Штрихкод ]])-SEARCH("-",Проливка[[#This Row],[Штрихкод ]],1))," ")</f>
        <v xml:space="preserve"> </v>
      </c>
      <c r="Y933">
        <f>IFERROR(VLOOKUP(Проливка[[#This Row],[ID]]*1,'Срок хранения'!A933:B1031,2,0),0)</f>
        <v>0</v>
      </c>
      <c r="Z933">
        <f>IFERROR(VLOOKUP(Проливка[[#This Row],[ID]]*1,'Срок хранения'!A933:C1031,3,0),0)</f>
        <v>0</v>
      </c>
    </row>
    <row r="934" spans="1:26" x14ac:dyDescent="0.25">
      <c r="A934" s="9"/>
      <c r="B934" s="12" t="str">
        <f t="shared" si="57"/>
        <v xml:space="preserve"> </v>
      </c>
      <c r="C934" s="10" t="str">
        <f t="shared" si="56"/>
        <v xml:space="preserve"> </v>
      </c>
      <c r="D934" s="10">
        <f t="shared" si="58"/>
        <v>0</v>
      </c>
      <c r="E934" s="10">
        <f t="shared" si="59"/>
        <v>0</v>
      </c>
      <c r="W934" t="str">
        <f>IFERROR(MID(Проливка[[#This Row],[Штрихкод ]],1,FIND("-",Проливка[[#This Row],[Штрихкод ]],1)-1)," ")</f>
        <v xml:space="preserve"> </v>
      </c>
      <c r="X934" t="str">
        <f>IFERROR(RIGHT(Проливка[[#This Row],[Штрихкод ]],LEN(Проливка[[#This Row],[Штрихкод ]])-SEARCH("-",Проливка[[#This Row],[Штрихкод ]],1))," ")</f>
        <v xml:space="preserve"> </v>
      </c>
      <c r="Y934">
        <f>IFERROR(VLOOKUP(Проливка[[#This Row],[ID]]*1,'Срок хранения'!A934:B1032,2,0),0)</f>
        <v>0</v>
      </c>
      <c r="Z934">
        <f>IFERROR(VLOOKUP(Проливка[[#This Row],[ID]]*1,'Срок хранения'!A934:C1032,3,0),0)</f>
        <v>0</v>
      </c>
    </row>
    <row r="935" spans="1:26" x14ac:dyDescent="0.25">
      <c r="A935" s="9"/>
      <c r="B935" s="12" t="str">
        <f t="shared" si="57"/>
        <v xml:space="preserve"> </v>
      </c>
      <c r="C935" s="10" t="str">
        <f t="shared" si="56"/>
        <v xml:space="preserve"> </v>
      </c>
      <c r="D935" s="10">
        <f t="shared" si="58"/>
        <v>0</v>
      </c>
      <c r="E935" s="10">
        <f t="shared" si="59"/>
        <v>0</v>
      </c>
      <c r="W935" t="str">
        <f>IFERROR(MID(Проливка[[#This Row],[Штрихкод ]],1,FIND("-",Проливка[[#This Row],[Штрихкод ]],1)-1)," ")</f>
        <v xml:space="preserve"> </v>
      </c>
      <c r="X935" t="str">
        <f>IFERROR(RIGHT(Проливка[[#This Row],[Штрихкод ]],LEN(Проливка[[#This Row],[Штрихкод ]])-SEARCH("-",Проливка[[#This Row],[Штрихкод ]],1))," ")</f>
        <v xml:space="preserve"> </v>
      </c>
      <c r="Y935">
        <f>IFERROR(VLOOKUP(Проливка[[#This Row],[ID]]*1,'Срок хранения'!A935:B1033,2,0),0)</f>
        <v>0</v>
      </c>
      <c r="Z935">
        <f>IFERROR(VLOOKUP(Проливка[[#This Row],[ID]]*1,'Срок хранения'!A935:C1033,3,0),0)</f>
        <v>0</v>
      </c>
    </row>
    <row r="936" spans="1:26" x14ac:dyDescent="0.25">
      <c r="A936" s="9"/>
      <c r="B936" s="12" t="str">
        <f t="shared" si="57"/>
        <v xml:space="preserve"> </v>
      </c>
      <c r="C936" s="10" t="str">
        <f t="shared" si="56"/>
        <v xml:space="preserve"> </v>
      </c>
      <c r="D936" s="10">
        <f t="shared" si="58"/>
        <v>0</v>
      </c>
      <c r="E936" s="10">
        <f t="shared" si="59"/>
        <v>0</v>
      </c>
      <c r="W936" t="str">
        <f>IFERROR(MID(Проливка[[#This Row],[Штрихкод ]],1,FIND("-",Проливка[[#This Row],[Штрихкод ]],1)-1)," ")</f>
        <v xml:space="preserve"> </v>
      </c>
      <c r="X936" t="str">
        <f>IFERROR(RIGHT(Проливка[[#This Row],[Штрихкод ]],LEN(Проливка[[#This Row],[Штрихкод ]])-SEARCH("-",Проливка[[#This Row],[Штрихкод ]],1))," ")</f>
        <v xml:space="preserve"> </v>
      </c>
      <c r="Y936">
        <f>IFERROR(VLOOKUP(Проливка[[#This Row],[ID]]*1,'Срок хранения'!A936:B1034,2,0),0)</f>
        <v>0</v>
      </c>
      <c r="Z936">
        <f>IFERROR(VLOOKUP(Проливка[[#This Row],[ID]]*1,'Срок хранения'!A936:C1034,3,0),0)</f>
        <v>0</v>
      </c>
    </row>
    <row r="937" spans="1:26" x14ac:dyDescent="0.25">
      <c r="A937" s="9"/>
      <c r="B937" s="12" t="str">
        <f t="shared" si="57"/>
        <v xml:space="preserve"> </v>
      </c>
      <c r="C937" s="10" t="str">
        <f t="shared" si="56"/>
        <v xml:space="preserve"> </v>
      </c>
      <c r="D937" s="10">
        <f t="shared" si="58"/>
        <v>0</v>
      </c>
      <c r="E937" s="10">
        <f t="shared" si="59"/>
        <v>0</v>
      </c>
      <c r="W937" t="str">
        <f>IFERROR(MID(Проливка[[#This Row],[Штрихкод ]],1,FIND("-",Проливка[[#This Row],[Штрихкод ]],1)-1)," ")</f>
        <v xml:space="preserve"> </v>
      </c>
      <c r="X937" t="str">
        <f>IFERROR(RIGHT(Проливка[[#This Row],[Штрихкод ]],LEN(Проливка[[#This Row],[Штрихкод ]])-SEARCH("-",Проливка[[#This Row],[Штрихкод ]],1))," ")</f>
        <v xml:space="preserve"> </v>
      </c>
      <c r="Y937">
        <f>IFERROR(VLOOKUP(Проливка[[#This Row],[ID]]*1,'Срок хранения'!A937:B1035,2,0),0)</f>
        <v>0</v>
      </c>
      <c r="Z937">
        <f>IFERROR(VLOOKUP(Проливка[[#This Row],[ID]]*1,'Срок хранения'!A937:C1035,3,0),0)</f>
        <v>0</v>
      </c>
    </row>
    <row r="938" spans="1:26" x14ac:dyDescent="0.25">
      <c r="A938" s="9"/>
      <c r="B938" s="12" t="str">
        <f t="shared" si="57"/>
        <v xml:space="preserve"> </v>
      </c>
      <c r="C938" s="10" t="str">
        <f t="shared" si="56"/>
        <v xml:space="preserve"> </v>
      </c>
      <c r="D938" s="10">
        <f t="shared" si="58"/>
        <v>0</v>
      </c>
      <c r="E938" s="10">
        <f t="shared" si="59"/>
        <v>0</v>
      </c>
      <c r="W938" t="str">
        <f>IFERROR(MID(Проливка[[#This Row],[Штрихкод ]],1,FIND("-",Проливка[[#This Row],[Штрихкод ]],1)-1)," ")</f>
        <v xml:space="preserve"> </v>
      </c>
      <c r="X938" t="str">
        <f>IFERROR(RIGHT(Проливка[[#This Row],[Штрихкод ]],LEN(Проливка[[#This Row],[Штрихкод ]])-SEARCH("-",Проливка[[#This Row],[Штрихкод ]],1))," ")</f>
        <v xml:space="preserve"> </v>
      </c>
      <c r="Y938">
        <f>IFERROR(VLOOKUP(Проливка[[#This Row],[ID]]*1,'Срок хранения'!A938:B1036,2,0),0)</f>
        <v>0</v>
      </c>
      <c r="Z938">
        <f>IFERROR(VLOOKUP(Проливка[[#This Row],[ID]]*1,'Срок хранения'!A938:C1036,3,0),0)</f>
        <v>0</v>
      </c>
    </row>
    <row r="939" spans="1:26" x14ac:dyDescent="0.25">
      <c r="A939" s="9"/>
      <c r="B939" s="12" t="str">
        <f t="shared" si="57"/>
        <v xml:space="preserve"> </v>
      </c>
      <c r="C939" s="10" t="str">
        <f t="shared" si="56"/>
        <v xml:space="preserve"> </v>
      </c>
      <c r="D939" s="10">
        <f t="shared" si="58"/>
        <v>0</v>
      </c>
      <c r="E939" s="10">
        <f t="shared" si="59"/>
        <v>0</v>
      </c>
      <c r="W939" t="str">
        <f>IFERROR(MID(Проливка[[#This Row],[Штрихкод ]],1,FIND("-",Проливка[[#This Row],[Штрихкод ]],1)-1)," ")</f>
        <v xml:space="preserve"> </v>
      </c>
      <c r="X939" t="str">
        <f>IFERROR(RIGHT(Проливка[[#This Row],[Штрихкод ]],LEN(Проливка[[#This Row],[Штрихкод ]])-SEARCH("-",Проливка[[#This Row],[Штрихкод ]],1))," ")</f>
        <v xml:space="preserve"> </v>
      </c>
      <c r="Y939">
        <f>IFERROR(VLOOKUP(Проливка[[#This Row],[ID]]*1,'Срок хранения'!A939:B1037,2,0),0)</f>
        <v>0</v>
      </c>
      <c r="Z939">
        <f>IFERROR(VLOOKUP(Проливка[[#This Row],[ID]]*1,'Срок хранения'!A939:C1037,3,0),0)</f>
        <v>0</v>
      </c>
    </row>
    <row r="940" spans="1:26" x14ac:dyDescent="0.25">
      <c r="A940" s="9"/>
      <c r="B940" s="12" t="str">
        <f t="shared" si="57"/>
        <v xml:space="preserve"> </v>
      </c>
      <c r="C940" s="10" t="str">
        <f t="shared" si="56"/>
        <v xml:space="preserve"> </v>
      </c>
      <c r="D940" s="10">
        <f t="shared" si="58"/>
        <v>0</v>
      </c>
      <c r="E940" s="10">
        <f t="shared" si="59"/>
        <v>0</v>
      </c>
      <c r="W940" t="str">
        <f>IFERROR(MID(Проливка[[#This Row],[Штрихкод ]],1,FIND("-",Проливка[[#This Row],[Штрихкод ]],1)-1)," ")</f>
        <v xml:space="preserve"> </v>
      </c>
      <c r="X940" t="str">
        <f>IFERROR(RIGHT(Проливка[[#This Row],[Штрихкод ]],LEN(Проливка[[#This Row],[Штрихкод ]])-SEARCH("-",Проливка[[#This Row],[Штрихкод ]],1))," ")</f>
        <v xml:space="preserve"> </v>
      </c>
      <c r="Y940">
        <f>IFERROR(VLOOKUP(Проливка[[#This Row],[ID]]*1,'Срок хранения'!A940:B1038,2,0),0)</f>
        <v>0</v>
      </c>
      <c r="Z940">
        <f>IFERROR(VLOOKUP(Проливка[[#This Row],[ID]]*1,'Срок хранения'!A940:C1038,3,0),0)</f>
        <v>0</v>
      </c>
    </row>
    <row r="941" spans="1:26" x14ac:dyDescent="0.25">
      <c r="A941" s="9"/>
      <c r="B941" s="12" t="str">
        <f t="shared" si="57"/>
        <v xml:space="preserve"> </v>
      </c>
      <c r="C941" s="10" t="str">
        <f t="shared" si="56"/>
        <v xml:space="preserve"> </v>
      </c>
      <c r="D941" s="10">
        <f t="shared" si="58"/>
        <v>0</v>
      </c>
      <c r="E941" s="10">
        <f t="shared" si="59"/>
        <v>0</v>
      </c>
      <c r="W941" t="str">
        <f>IFERROR(MID(Проливка[[#This Row],[Штрихкод ]],1,FIND("-",Проливка[[#This Row],[Штрихкод ]],1)-1)," ")</f>
        <v xml:space="preserve"> </v>
      </c>
      <c r="X941" t="str">
        <f>IFERROR(RIGHT(Проливка[[#This Row],[Штрихкод ]],LEN(Проливка[[#This Row],[Штрихкод ]])-SEARCH("-",Проливка[[#This Row],[Штрихкод ]],1))," ")</f>
        <v xml:space="preserve"> </v>
      </c>
      <c r="Y941">
        <f>IFERROR(VLOOKUP(Проливка[[#This Row],[ID]]*1,'Срок хранения'!A941:B1039,2,0),0)</f>
        <v>0</v>
      </c>
      <c r="Z941">
        <f>IFERROR(VLOOKUP(Проливка[[#This Row],[ID]]*1,'Срок хранения'!A941:C1039,3,0),0)</f>
        <v>0</v>
      </c>
    </row>
    <row r="942" spans="1:26" x14ac:dyDescent="0.25">
      <c r="A942" s="9"/>
      <c r="B942" s="12" t="str">
        <f t="shared" si="57"/>
        <v xml:space="preserve"> </v>
      </c>
      <c r="C942" s="10" t="str">
        <f t="shared" si="56"/>
        <v xml:space="preserve"> </v>
      </c>
      <c r="D942" s="10">
        <f t="shared" si="58"/>
        <v>0</v>
      </c>
      <c r="E942" s="10">
        <f t="shared" si="59"/>
        <v>0</v>
      </c>
      <c r="W942" t="str">
        <f>IFERROR(MID(Проливка[[#This Row],[Штрихкод ]],1,FIND("-",Проливка[[#This Row],[Штрихкод ]],1)-1)," ")</f>
        <v xml:space="preserve"> </v>
      </c>
      <c r="X942" t="str">
        <f>IFERROR(RIGHT(Проливка[[#This Row],[Штрихкод ]],LEN(Проливка[[#This Row],[Штрихкод ]])-SEARCH("-",Проливка[[#This Row],[Штрихкод ]],1))," ")</f>
        <v xml:space="preserve"> </v>
      </c>
      <c r="Y942">
        <f>IFERROR(VLOOKUP(Проливка[[#This Row],[ID]]*1,'Срок хранения'!A942:B1040,2,0),0)</f>
        <v>0</v>
      </c>
      <c r="Z942">
        <f>IFERROR(VLOOKUP(Проливка[[#This Row],[ID]]*1,'Срок хранения'!A942:C1040,3,0),0)</f>
        <v>0</v>
      </c>
    </row>
    <row r="943" spans="1:26" x14ac:dyDescent="0.25">
      <c r="A943" s="9"/>
      <c r="B943" s="12" t="str">
        <f t="shared" si="57"/>
        <v xml:space="preserve"> </v>
      </c>
      <c r="C943" s="10" t="str">
        <f t="shared" si="56"/>
        <v xml:space="preserve"> </v>
      </c>
      <c r="D943" s="10">
        <f t="shared" si="58"/>
        <v>0</v>
      </c>
      <c r="E943" s="10">
        <f t="shared" si="59"/>
        <v>0</v>
      </c>
      <c r="W943" t="str">
        <f>IFERROR(MID(Проливка[[#This Row],[Штрихкод ]],1,FIND("-",Проливка[[#This Row],[Штрихкод ]],1)-1)," ")</f>
        <v xml:space="preserve"> </v>
      </c>
      <c r="X943" t="str">
        <f>IFERROR(RIGHT(Проливка[[#This Row],[Штрихкод ]],LEN(Проливка[[#This Row],[Штрихкод ]])-SEARCH("-",Проливка[[#This Row],[Штрихкод ]],1))," ")</f>
        <v xml:space="preserve"> </v>
      </c>
      <c r="Y943">
        <f>IFERROR(VLOOKUP(Проливка[[#This Row],[ID]]*1,'Срок хранения'!A943:B1041,2,0),0)</f>
        <v>0</v>
      </c>
      <c r="Z943">
        <f>IFERROR(VLOOKUP(Проливка[[#This Row],[ID]]*1,'Срок хранения'!A943:C1041,3,0),0)</f>
        <v>0</v>
      </c>
    </row>
    <row r="944" spans="1:26" x14ac:dyDescent="0.25">
      <c r="A944" s="9"/>
      <c r="B944" s="12" t="str">
        <f t="shared" si="57"/>
        <v xml:space="preserve"> </v>
      </c>
      <c r="C944" s="10" t="str">
        <f t="shared" si="56"/>
        <v xml:space="preserve"> </v>
      </c>
      <c r="D944" s="10">
        <f t="shared" si="58"/>
        <v>0</v>
      </c>
      <c r="E944" s="10">
        <f t="shared" si="59"/>
        <v>0</v>
      </c>
      <c r="W944" t="str">
        <f>IFERROR(MID(Проливка[[#This Row],[Штрихкод ]],1,FIND("-",Проливка[[#This Row],[Штрихкод ]],1)-1)," ")</f>
        <v xml:space="preserve"> </v>
      </c>
      <c r="X944" t="str">
        <f>IFERROR(RIGHT(Проливка[[#This Row],[Штрихкод ]],LEN(Проливка[[#This Row],[Штрихкод ]])-SEARCH("-",Проливка[[#This Row],[Штрихкод ]],1))," ")</f>
        <v xml:space="preserve"> </v>
      </c>
      <c r="Y944">
        <f>IFERROR(VLOOKUP(Проливка[[#This Row],[ID]]*1,'Срок хранения'!A944:B1042,2,0),0)</f>
        <v>0</v>
      </c>
      <c r="Z944">
        <f>IFERROR(VLOOKUP(Проливка[[#This Row],[ID]]*1,'Срок хранения'!A944:C1042,3,0),0)</f>
        <v>0</v>
      </c>
    </row>
    <row r="945" spans="1:26" x14ac:dyDescent="0.25">
      <c r="A945" s="9"/>
      <c r="B945" s="12" t="str">
        <f t="shared" si="57"/>
        <v xml:space="preserve"> </v>
      </c>
      <c r="C945" s="10" t="str">
        <f t="shared" si="56"/>
        <v xml:space="preserve"> </v>
      </c>
      <c r="D945" s="10">
        <f t="shared" si="58"/>
        <v>0</v>
      </c>
      <c r="E945" s="10">
        <f t="shared" si="59"/>
        <v>0</v>
      </c>
      <c r="W945" t="str">
        <f>IFERROR(MID(Проливка[[#This Row],[Штрихкод ]],1,FIND("-",Проливка[[#This Row],[Штрихкод ]],1)-1)," ")</f>
        <v xml:space="preserve"> </v>
      </c>
      <c r="X945" t="str">
        <f>IFERROR(RIGHT(Проливка[[#This Row],[Штрихкод ]],LEN(Проливка[[#This Row],[Штрихкод ]])-SEARCH("-",Проливка[[#This Row],[Штрихкод ]],1))," ")</f>
        <v xml:space="preserve"> </v>
      </c>
      <c r="Y945">
        <f>IFERROR(VLOOKUP(Проливка[[#This Row],[ID]]*1,'Срок хранения'!A945:B1043,2,0),0)</f>
        <v>0</v>
      </c>
      <c r="Z945">
        <f>IFERROR(VLOOKUP(Проливка[[#This Row],[ID]]*1,'Срок хранения'!A945:C1043,3,0),0)</f>
        <v>0</v>
      </c>
    </row>
    <row r="946" spans="1:26" x14ac:dyDescent="0.25">
      <c r="A946" s="9"/>
      <c r="B946" s="12" t="str">
        <f t="shared" si="57"/>
        <v xml:space="preserve"> </v>
      </c>
      <c r="C946" s="10" t="str">
        <f t="shared" si="56"/>
        <v xml:space="preserve"> </v>
      </c>
      <c r="D946" s="10">
        <f t="shared" si="58"/>
        <v>0</v>
      </c>
      <c r="E946" s="10">
        <f t="shared" si="59"/>
        <v>0</v>
      </c>
      <c r="W946" t="str">
        <f>IFERROR(MID(Проливка[[#This Row],[Штрихкод ]],1,FIND("-",Проливка[[#This Row],[Штрихкод ]],1)-1)," ")</f>
        <v xml:space="preserve"> </v>
      </c>
      <c r="X946" t="str">
        <f>IFERROR(RIGHT(Проливка[[#This Row],[Штрихкод ]],LEN(Проливка[[#This Row],[Штрихкод ]])-SEARCH("-",Проливка[[#This Row],[Штрихкод ]],1))," ")</f>
        <v xml:space="preserve"> </v>
      </c>
      <c r="Y946">
        <f>IFERROR(VLOOKUP(Проливка[[#This Row],[ID]]*1,'Срок хранения'!A946:B1044,2,0),0)</f>
        <v>0</v>
      </c>
      <c r="Z946">
        <f>IFERROR(VLOOKUP(Проливка[[#This Row],[ID]]*1,'Срок хранения'!A946:C1044,3,0),0)</f>
        <v>0</v>
      </c>
    </row>
    <row r="947" spans="1:26" x14ac:dyDescent="0.25">
      <c r="A947" s="9"/>
      <c r="B947" s="12" t="str">
        <f t="shared" si="57"/>
        <v xml:space="preserve"> </v>
      </c>
      <c r="C947" s="10" t="str">
        <f t="shared" si="56"/>
        <v xml:space="preserve"> </v>
      </c>
      <c r="D947" s="10">
        <f t="shared" si="58"/>
        <v>0</v>
      </c>
      <c r="E947" s="10">
        <f t="shared" si="59"/>
        <v>0</v>
      </c>
      <c r="W947" t="str">
        <f>IFERROR(MID(Проливка[[#This Row],[Штрихкод ]],1,FIND("-",Проливка[[#This Row],[Штрихкод ]],1)-1)," ")</f>
        <v xml:space="preserve"> </v>
      </c>
      <c r="X947" t="str">
        <f>IFERROR(RIGHT(Проливка[[#This Row],[Штрихкод ]],LEN(Проливка[[#This Row],[Штрихкод ]])-SEARCH("-",Проливка[[#This Row],[Штрихкод ]],1))," ")</f>
        <v xml:space="preserve"> </v>
      </c>
      <c r="Y947">
        <f>IFERROR(VLOOKUP(Проливка[[#This Row],[ID]]*1,'Срок хранения'!A947:B1045,2,0),0)</f>
        <v>0</v>
      </c>
      <c r="Z947">
        <f>IFERROR(VLOOKUP(Проливка[[#This Row],[ID]]*1,'Срок хранения'!A947:C1045,3,0),0)</f>
        <v>0</v>
      </c>
    </row>
    <row r="948" spans="1:26" x14ac:dyDescent="0.25">
      <c r="A948" s="9"/>
      <c r="B948" s="12" t="str">
        <f t="shared" si="57"/>
        <v xml:space="preserve"> </v>
      </c>
      <c r="C948" s="10" t="str">
        <f t="shared" si="56"/>
        <v xml:space="preserve"> </v>
      </c>
      <c r="D948" s="10">
        <f t="shared" si="58"/>
        <v>0</v>
      </c>
      <c r="E948" s="10">
        <f t="shared" si="59"/>
        <v>0</v>
      </c>
      <c r="W948" t="str">
        <f>IFERROR(MID(Проливка[[#This Row],[Штрихкод ]],1,FIND("-",Проливка[[#This Row],[Штрихкод ]],1)-1)," ")</f>
        <v xml:space="preserve"> </v>
      </c>
      <c r="X948" t="str">
        <f>IFERROR(RIGHT(Проливка[[#This Row],[Штрихкод ]],LEN(Проливка[[#This Row],[Штрихкод ]])-SEARCH("-",Проливка[[#This Row],[Штрихкод ]],1))," ")</f>
        <v xml:space="preserve"> </v>
      </c>
      <c r="Y948">
        <f>IFERROR(VLOOKUP(Проливка[[#This Row],[ID]]*1,'Срок хранения'!A948:B1046,2,0),0)</f>
        <v>0</v>
      </c>
      <c r="Z948">
        <f>IFERROR(VLOOKUP(Проливка[[#This Row],[ID]]*1,'Срок хранения'!A948:C1046,3,0),0)</f>
        <v>0</v>
      </c>
    </row>
    <row r="949" spans="1:26" x14ac:dyDescent="0.25">
      <c r="A949" s="9"/>
      <c r="B949" s="12" t="str">
        <f t="shared" si="57"/>
        <v xml:space="preserve"> </v>
      </c>
      <c r="C949" s="10" t="str">
        <f t="shared" si="56"/>
        <v xml:space="preserve"> </v>
      </c>
      <c r="D949" s="10">
        <f t="shared" si="58"/>
        <v>0</v>
      </c>
      <c r="E949" s="10">
        <f t="shared" si="59"/>
        <v>0</v>
      </c>
      <c r="W949" t="str">
        <f>IFERROR(MID(Проливка[[#This Row],[Штрихкод ]],1,FIND("-",Проливка[[#This Row],[Штрихкод ]],1)-1)," ")</f>
        <v xml:space="preserve"> </v>
      </c>
      <c r="X949" t="str">
        <f>IFERROR(RIGHT(Проливка[[#This Row],[Штрихкод ]],LEN(Проливка[[#This Row],[Штрихкод ]])-SEARCH("-",Проливка[[#This Row],[Штрихкод ]],1))," ")</f>
        <v xml:space="preserve"> </v>
      </c>
      <c r="Y949">
        <f>IFERROR(VLOOKUP(Проливка[[#This Row],[ID]]*1,'Срок хранения'!A949:B1047,2,0),0)</f>
        <v>0</v>
      </c>
      <c r="Z949">
        <f>IFERROR(VLOOKUP(Проливка[[#This Row],[ID]]*1,'Срок хранения'!A949:C1047,3,0),0)</f>
        <v>0</v>
      </c>
    </row>
    <row r="950" spans="1:26" x14ac:dyDescent="0.25">
      <c r="A950" s="9"/>
      <c r="B950" s="12" t="str">
        <f t="shared" si="57"/>
        <v xml:space="preserve"> </v>
      </c>
      <c r="C950" s="10" t="str">
        <f t="shared" si="56"/>
        <v xml:space="preserve"> </v>
      </c>
      <c r="D950" s="10">
        <f t="shared" si="58"/>
        <v>0</v>
      </c>
      <c r="E950" s="10">
        <f t="shared" si="59"/>
        <v>0</v>
      </c>
      <c r="W950" t="str">
        <f>IFERROR(MID(Проливка[[#This Row],[Штрихкод ]],1,FIND("-",Проливка[[#This Row],[Штрихкод ]],1)-1)," ")</f>
        <v xml:space="preserve"> </v>
      </c>
      <c r="X950" t="str">
        <f>IFERROR(RIGHT(Проливка[[#This Row],[Штрихкод ]],LEN(Проливка[[#This Row],[Штрихкод ]])-SEARCH("-",Проливка[[#This Row],[Штрихкод ]],1))," ")</f>
        <v xml:space="preserve"> </v>
      </c>
      <c r="Y950">
        <f>IFERROR(VLOOKUP(Проливка[[#This Row],[ID]]*1,'Срок хранения'!A950:B1048,2,0),0)</f>
        <v>0</v>
      </c>
      <c r="Z950">
        <f>IFERROR(VLOOKUP(Проливка[[#This Row],[ID]]*1,'Срок хранения'!A950:C1048,3,0),0)</f>
        <v>0</v>
      </c>
    </row>
    <row r="951" spans="1:26" x14ac:dyDescent="0.25">
      <c r="A951" s="9"/>
      <c r="B951" s="12" t="str">
        <f t="shared" si="57"/>
        <v xml:space="preserve"> </v>
      </c>
      <c r="C951" s="10" t="str">
        <f t="shared" si="56"/>
        <v xml:space="preserve"> </v>
      </c>
      <c r="D951" s="10">
        <f t="shared" si="58"/>
        <v>0</v>
      </c>
      <c r="E951" s="10">
        <f t="shared" si="59"/>
        <v>0</v>
      </c>
      <c r="W951" t="str">
        <f>IFERROR(MID(Проливка[[#This Row],[Штрихкод ]],1,FIND("-",Проливка[[#This Row],[Штрихкод ]],1)-1)," ")</f>
        <v xml:space="preserve"> </v>
      </c>
      <c r="X951" t="str">
        <f>IFERROR(RIGHT(Проливка[[#This Row],[Штрихкод ]],LEN(Проливка[[#This Row],[Штрихкод ]])-SEARCH("-",Проливка[[#This Row],[Штрихкод ]],1))," ")</f>
        <v xml:space="preserve"> </v>
      </c>
      <c r="Y951">
        <f>IFERROR(VLOOKUP(Проливка[[#This Row],[ID]]*1,'Срок хранения'!A951:B1049,2,0),0)</f>
        <v>0</v>
      </c>
      <c r="Z951">
        <f>IFERROR(VLOOKUP(Проливка[[#This Row],[ID]]*1,'Срок хранения'!A951:C1049,3,0),0)</f>
        <v>0</v>
      </c>
    </row>
    <row r="952" spans="1:26" x14ac:dyDescent="0.25">
      <c r="A952" s="9"/>
      <c r="B952" s="12" t="str">
        <f t="shared" si="57"/>
        <v xml:space="preserve"> </v>
      </c>
      <c r="C952" s="10" t="str">
        <f t="shared" si="56"/>
        <v xml:space="preserve"> </v>
      </c>
      <c r="D952" s="10">
        <f t="shared" si="58"/>
        <v>0</v>
      </c>
      <c r="E952" s="10">
        <f t="shared" si="59"/>
        <v>0</v>
      </c>
      <c r="W952" t="str">
        <f>IFERROR(MID(Проливка[[#This Row],[Штрихкод ]],1,FIND("-",Проливка[[#This Row],[Штрихкод ]],1)-1)," ")</f>
        <v xml:space="preserve"> </v>
      </c>
      <c r="X952" t="str">
        <f>IFERROR(RIGHT(Проливка[[#This Row],[Штрихкод ]],LEN(Проливка[[#This Row],[Штрихкод ]])-SEARCH("-",Проливка[[#This Row],[Штрихкод ]],1))," ")</f>
        <v xml:space="preserve"> </v>
      </c>
      <c r="Y952">
        <f>IFERROR(VLOOKUP(Проливка[[#This Row],[ID]]*1,'Срок хранения'!A952:B1050,2,0),0)</f>
        <v>0</v>
      </c>
      <c r="Z952">
        <f>IFERROR(VLOOKUP(Проливка[[#This Row],[ID]]*1,'Срок хранения'!A952:C1050,3,0),0)</f>
        <v>0</v>
      </c>
    </row>
    <row r="953" spans="1:26" x14ac:dyDescent="0.25">
      <c r="A953" s="9"/>
      <c r="B953" s="12" t="str">
        <f t="shared" si="57"/>
        <v xml:space="preserve"> </v>
      </c>
      <c r="C953" s="10" t="str">
        <f t="shared" si="56"/>
        <v xml:space="preserve"> </v>
      </c>
      <c r="D953" s="10">
        <f t="shared" si="58"/>
        <v>0</v>
      </c>
      <c r="E953" s="10">
        <f t="shared" si="59"/>
        <v>0</v>
      </c>
      <c r="W953" t="str">
        <f>IFERROR(MID(Проливка[[#This Row],[Штрихкод ]],1,FIND("-",Проливка[[#This Row],[Штрихкод ]],1)-1)," ")</f>
        <v xml:space="preserve"> </v>
      </c>
      <c r="X953" t="str">
        <f>IFERROR(RIGHT(Проливка[[#This Row],[Штрихкод ]],LEN(Проливка[[#This Row],[Штрихкод ]])-SEARCH("-",Проливка[[#This Row],[Штрихкод ]],1))," ")</f>
        <v xml:space="preserve"> </v>
      </c>
      <c r="Y953">
        <f>IFERROR(VLOOKUP(Проливка[[#This Row],[ID]]*1,'Срок хранения'!A953:B1051,2,0),0)</f>
        <v>0</v>
      </c>
      <c r="Z953">
        <f>IFERROR(VLOOKUP(Проливка[[#This Row],[ID]]*1,'Срок хранения'!A953:C1051,3,0),0)</f>
        <v>0</v>
      </c>
    </row>
    <row r="954" spans="1:26" x14ac:dyDescent="0.25">
      <c r="A954" s="9"/>
      <c r="B954" s="12" t="str">
        <f t="shared" si="57"/>
        <v xml:space="preserve"> </v>
      </c>
      <c r="C954" s="10" t="str">
        <f t="shared" si="56"/>
        <v xml:space="preserve"> </v>
      </c>
      <c r="D954" s="10">
        <f t="shared" si="58"/>
        <v>0</v>
      </c>
      <c r="E954" s="10">
        <f t="shared" si="59"/>
        <v>0</v>
      </c>
      <c r="W954" t="str">
        <f>IFERROR(MID(Проливка[[#This Row],[Штрихкод ]],1,FIND("-",Проливка[[#This Row],[Штрихкод ]],1)-1)," ")</f>
        <v xml:space="preserve"> </v>
      </c>
      <c r="X954" t="str">
        <f>IFERROR(RIGHT(Проливка[[#This Row],[Штрихкод ]],LEN(Проливка[[#This Row],[Штрихкод ]])-SEARCH("-",Проливка[[#This Row],[Штрихкод ]],1))," ")</f>
        <v xml:space="preserve"> </v>
      </c>
      <c r="Y954">
        <f>IFERROR(VLOOKUP(Проливка[[#This Row],[ID]]*1,'Срок хранения'!A954:B1052,2,0),0)</f>
        <v>0</v>
      </c>
      <c r="Z954">
        <f>IFERROR(VLOOKUP(Проливка[[#This Row],[ID]]*1,'Срок хранения'!A954:C1052,3,0),0)</f>
        <v>0</v>
      </c>
    </row>
    <row r="955" spans="1:26" x14ac:dyDescent="0.25">
      <c r="A955" s="9"/>
      <c r="B955" s="12" t="str">
        <f t="shared" si="57"/>
        <v xml:space="preserve"> </v>
      </c>
      <c r="C955" s="10" t="str">
        <f t="shared" si="56"/>
        <v xml:space="preserve"> </v>
      </c>
      <c r="D955" s="10">
        <f t="shared" si="58"/>
        <v>0</v>
      </c>
      <c r="E955" s="10">
        <f t="shared" si="59"/>
        <v>0</v>
      </c>
      <c r="W955" t="str">
        <f>IFERROR(MID(Проливка[[#This Row],[Штрихкод ]],1,FIND("-",Проливка[[#This Row],[Штрихкод ]],1)-1)," ")</f>
        <v xml:space="preserve"> </v>
      </c>
      <c r="X955" t="str">
        <f>IFERROR(RIGHT(Проливка[[#This Row],[Штрихкод ]],LEN(Проливка[[#This Row],[Штрихкод ]])-SEARCH("-",Проливка[[#This Row],[Штрихкод ]],1))," ")</f>
        <v xml:space="preserve"> </v>
      </c>
      <c r="Y955">
        <f>IFERROR(VLOOKUP(Проливка[[#This Row],[ID]]*1,'Срок хранения'!A955:B1053,2,0),0)</f>
        <v>0</v>
      </c>
      <c r="Z955">
        <f>IFERROR(VLOOKUP(Проливка[[#This Row],[ID]]*1,'Срок хранения'!A955:C1053,3,0),0)</f>
        <v>0</v>
      </c>
    </row>
    <row r="956" spans="1:26" x14ac:dyDescent="0.25">
      <c r="A956" s="9"/>
      <c r="B956" s="12" t="str">
        <f t="shared" si="57"/>
        <v xml:space="preserve"> </v>
      </c>
      <c r="C956" s="10" t="str">
        <f t="shared" si="56"/>
        <v xml:space="preserve"> </v>
      </c>
      <c r="D956" s="10">
        <f t="shared" si="58"/>
        <v>0</v>
      </c>
      <c r="E956" s="10">
        <f t="shared" si="59"/>
        <v>0</v>
      </c>
      <c r="W956" t="str">
        <f>IFERROR(MID(Проливка[[#This Row],[Штрихкод ]],1,FIND("-",Проливка[[#This Row],[Штрихкод ]],1)-1)," ")</f>
        <v xml:space="preserve"> </v>
      </c>
      <c r="X956" t="str">
        <f>IFERROR(RIGHT(Проливка[[#This Row],[Штрихкод ]],LEN(Проливка[[#This Row],[Штрихкод ]])-SEARCH("-",Проливка[[#This Row],[Штрихкод ]],1))," ")</f>
        <v xml:space="preserve"> </v>
      </c>
      <c r="Y956">
        <f>IFERROR(VLOOKUP(Проливка[[#This Row],[ID]]*1,'Срок хранения'!A956:B1054,2,0),0)</f>
        <v>0</v>
      </c>
      <c r="Z956">
        <f>IFERROR(VLOOKUP(Проливка[[#This Row],[ID]]*1,'Срок хранения'!A956:C1054,3,0),0)</f>
        <v>0</v>
      </c>
    </row>
    <row r="957" spans="1:26" x14ac:dyDescent="0.25">
      <c r="A957" s="9"/>
      <c r="B957" s="12" t="str">
        <f t="shared" si="57"/>
        <v xml:space="preserve"> </v>
      </c>
      <c r="C957" s="10" t="str">
        <f t="shared" si="56"/>
        <v xml:space="preserve"> </v>
      </c>
      <c r="D957" s="10">
        <f t="shared" si="58"/>
        <v>0</v>
      </c>
      <c r="E957" s="10">
        <f t="shared" si="59"/>
        <v>0</v>
      </c>
      <c r="W957" t="str">
        <f>IFERROR(MID(Проливка[[#This Row],[Штрихкод ]],1,FIND("-",Проливка[[#This Row],[Штрихкод ]],1)-1)," ")</f>
        <v xml:space="preserve"> </v>
      </c>
      <c r="X957" t="str">
        <f>IFERROR(RIGHT(Проливка[[#This Row],[Штрихкод ]],LEN(Проливка[[#This Row],[Штрихкод ]])-SEARCH("-",Проливка[[#This Row],[Штрихкод ]],1))," ")</f>
        <v xml:space="preserve"> </v>
      </c>
      <c r="Y957">
        <f>IFERROR(VLOOKUP(Проливка[[#This Row],[ID]]*1,'Срок хранения'!A957:B1055,2,0),0)</f>
        <v>0</v>
      </c>
      <c r="Z957">
        <f>IFERROR(VLOOKUP(Проливка[[#This Row],[ID]]*1,'Срок хранения'!A957:C1055,3,0),0)</f>
        <v>0</v>
      </c>
    </row>
    <row r="958" spans="1:26" x14ac:dyDescent="0.25">
      <c r="A958" s="9"/>
      <c r="B958" s="12" t="str">
        <f t="shared" si="57"/>
        <v xml:space="preserve"> </v>
      </c>
      <c r="C958" s="10" t="str">
        <f t="shared" si="56"/>
        <v xml:space="preserve"> </v>
      </c>
      <c r="D958" s="10">
        <f t="shared" si="58"/>
        <v>0</v>
      </c>
      <c r="E958" s="10">
        <f t="shared" si="59"/>
        <v>0</v>
      </c>
      <c r="W958" t="str">
        <f>IFERROR(MID(Проливка[[#This Row],[Штрихкод ]],1,FIND("-",Проливка[[#This Row],[Штрихкод ]],1)-1)," ")</f>
        <v xml:space="preserve"> </v>
      </c>
      <c r="X958" t="str">
        <f>IFERROR(RIGHT(Проливка[[#This Row],[Штрихкод ]],LEN(Проливка[[#This Row],[Штрихкод ]])-SEARCH("-",Проливка[[#This Row],[Штрихкод ]],1))," ")</f>
        <v xml:space="preserve"> </v>
      </c>
      <c r="Y958">
        <f>IFERROR(VLOOKUP(Проливка[[#This Row],[ID]]*1,'Срок хранения'!A958:B1056,2,0),0)</f>
        <v>0</v>
      </c>
      <c r="Z958">
        <f>IFERROR(VLOOKUP(Проливка[[#This Row],[ID]]*1,'Срок хранения'!A958:C1056,3,0),0)</f>
        <v>0</v>
      </c>
    </row>
    <row r="959" spans="1:26" x14ac:dyDescent="0.25">
      <c r="A959" s="9"/>
      <c r="B959" s="12" t="str">
        <f t="shared" si="57"/>
        <v xml:space="preserve"> </v>
      </c>
      <c r="C959" s="10" t="str">
        <f t="shared" si="56"/>
        <v xml:space="preserve"> </v>
      </c>
      <c r="D959" s="10">
        <f t="shared" si="58"/>
        <v>0</v>
      </c>
      <c r="E959" s="10">
        <f t="shared" si="59"/>
        <v>0</v>
      </c>
      <c r="W959" t="str">
        <f>IFERROR(MID(Проливка[[#This Row],[Штрихкод ]],1,FIND("-",Проливка[[#This Row],[Штрихкод ]],1)-1)," ")</f>
        <v xml:space="preserve"> </v>
      </c>
      <c r="X959" t="str">
        <f>IFERROR(RIGHT(Проливка[[#This Row],[Штрихкод ]],LEN(Проливка[[#This Row],[Штрихкод ]])-SEARCH("-",Проливка[[#This Row],[Штрихкод ]],1))," ")</f>
        <v xml:space="preserve"> </v>
      </c>
      <c r="Y959">
        <f>IFERROR(VLOOKUP(Проливка[[#This Row],[ID]]*1,'Срок хранения'!A959:B1057,2,0),0)</f>
        <v>0</v>
      </c>
      <c r="Z959">
        <f>IFERROR(VLOOKUP(Проливка[[#This Row],[ID]]*1,'Срок хранения'!A959:C1057,3,0),0)</f>
        <v>0</v>
      </c>
    </row>
    <row r="960" spans="1:26" x14ac:dyDescent="0.25">
      <c r="A960" s="9"/>
      <c r="B960" s="12" t="str">
        <f t="shared" si="57"/>
        <v xml:space="preserve"> </v>
      </c>
      <c r="C960" s="10" t="str">
        <f t="shared" si="56"/>
        <v xml:space="preserve"> </v>
      </c>
      <c r="D960" s="10">
        <f t="shared" si="58"/>
        <v>0</v>
      </c>
      <c r="E960" s="10">
        <f t="shared" si="59"/>
        <v>0</v>
      </c>
      <c r="W960" t="str">
        <f>IFERROR(MID(Проливка[[#This Row],[Штрихкод ]],1,FIND("-",Проливка[[#This Row],[Штрихкод ]],1)-1)," ")</f>
        <v xml:space="preserve"> </v>
      </c>
      <c r="X960" t="str">
        <f>IFERROR(RIGHT(Проливка[[#This Row],[Штрихкод ]],LEN(Проливка[[#This Row],[Штрихкод ]])-SEARCH("-",Проливка[[#This Row],[Штрихкод ]],1))," ")</f>
        <v xml:space="preserve"> </v>
      </c>
      <c r="Y960">
        <f>IFERROR(VLOOKUP(Проливка[[#This Row],[ID]]*1,'Срок хранения'!A960:B1058,2,0),0)</f>
        <v>0</v>
      </c>
      <c r="Z960">
        <f>IFERROR(VLOOKUP(Проливка[[#This Row],[ID]]*1,'Срок хранения'!A960:C1058,3,0),0)</f>
        <v>0</v>
      </c>
    </row>
    <row r="961" spans="1:26" x14ac:dyDescent="0.25">
      <c r="A961" s="9"/>
      <c r="B961" s="12" t="str">
        <f t="shared" si="57"/>
        <v xml:space="preserve"> </v>
      </c>
      <c r="C961" s="10" t="str">
        <f t="shared" si="56"/>
        <v xml:space="preserve"> </v>
      </c>
      <c r="D961" s="10">
        <f t="shared" si="58"/>
        <v>0</v>
      </c>
      <c r="E961" s="10">
        <f t="shared" si="59"/>
        <v>0</v>
      </c>
      <c r="W961" t="str">
        <f>IFERROR(MID(Проливка[[#This Row],[Штрихкод ]],1,FIND("-",Проливка[[#This Row],[Штрихкод ]],1)-1)," ")</f>
        <v xml:space="preserve"> </v>
      </c>
      <c r="X961" t="str">
        <f>IFERROR(RIGHT(Проливка[[#This Row],[Штрихкод ]],LEN(Проливка[[#This Row],[Штрихкод ]])-SEARCH("-",Проливка[[#This Row],[Штрихкод ]],1))," ")</f>
        <v xml:space="preserve"> </v>
      </c>
      <c r="Y961">
        <f>IFERROR(VLOOKUP(Проливка[[#This Row],[ID]]*1,'Срок хранения'!A961:B1059,2,0),0)</f>
        <v>0</v>
      </c>
      <c r="Z961">
        <f>IFERROR(VLOOKUP(Проливка[[#This Row],[ID]]*1,'Срок хранения'!A961:C1059,3,0),0)</f>
        <v>0</v>
      </c>
    </row>
    <row r="962" spans="1:26" x14ac:dyDescent="0.25">
      <c r="A962" s="9"/>
      <c r="B962" s="12" t="str">
        <f t="shared" si="57"/>
        <v xml:space="preserve"> </v>
      </c>
      <c r="C962" s="10" t="str">
        <f t="shared" ref="C962:C1025" si="60">X962</f>
        <v xml:space="preserve"> </v>
      </c>
      <c r="D962" s="10">
        <f t="shared" si="58"/>
        <v>0</v>
      </c>
      <c r="E962" s="10">
        <f t="shared" si="59"/>
        <v>0</v>
      </c>
      <c r="W962" t="str">
        <f>IFERROR(MID(Проливка[[#This Row],[Штрихкод ]],1,FIND("-",Проливка[[#This Row],[Штрихкод ]],1)-1)," ")</f>
        <v xml:space="preserve"> </v>
      </c>
      <c r="X962" t="str">
        <f>IFERROR(RIGHT(Проливка[[#This Row],[Штрихкод ]],LEN(Проливка[[#This Row],[Штрихкод ]])-SEARCH("-",Проливка[[#This Row],[Штрихкод ]],1))," ")</f>
        <v xml:space="preserve"> </v>
      </c>
      <c r="Y962">
        <f>IFERROR(VLOOKUP(Проливка[[#This Row],[ID]]*1,'Срок хранения'!A962:B1060,2,0),0)</f>
        <v>0</v>
      </c>
      <c r="Z962">
        <f>IFERROR(VLOOKUP(Проливка[[#This Row],[ID]]*1,'Срок хранения'!A962:C1060,3,0),0)</f>
        <v>0</v>
      </c>
    </row>
    <row r="963" spans="1:26" x14ac:dyDescent="0.25">
      <c r="A963" s="9"/>
      <c r="B963" s="12" t="str">
        <f t="shared" ref="B963:B999" si="61">W963</f>
        <v xml:space="preserve"> </v>
      </c>
      <c r="C963" s="10" t="str">
        <f t="shared" si="60"/>
        <v xml:space="preserve"> </v>
      </c>
      <c r="D963" s="10">
        <f t="shared" ref="D963:D1000" si="62">Y963</f>
        <v>0</v>
      </c>
      <c r="E963" s="10">
        <f t="shared" ref="E963:E1000" si="63">Z963</f>
        <v>0</v>
      </c>
      <c r="W963" t="str">
        <f>IFERROR(MID(Проливка[[#This Row],[Штрихкод ]],1,FIND("-",Проливка[[#This Row],[Штрихкод ]],1)-1)," ")</f>
        <v xml:space="preserve"> </v>
      </c>
      <c r="X963" t="str">
        <f>IFERROR(RIGHT(Проливка[[#This Row],[Штрихкод ]],LEN(Проливка[[#This Row],[Штрихкод ]])-SEARCH("-",Проливка[[#This Row],[Штрихкод ]],1))," ")</f>
        <v xml:space="preserve"> </v>
      </c>
      <c r="Y963">
        <f>IFERROR(VLOOKUP(Проливка[[#This Row],[ID]]*1,'Срок хранения'!A963:B1061,2,0),0)</f>
        <v>0</v>
      </c>
      <c r="Z963">
        <f>IFERROR(VLOOKUP(Проливка[[#This Row],[ID]]*1,'Срок хранения'!A963:C1061,3,0),0)</f>
        <v>0</v>
      </c>
    </row>
    <row r="964" spans="1:26" x14ac:dyDescent="0.25">
      <c r="A964" s="9"/>
      <c r="B964" s="12" t="str">
        <f t="shared" si="61"/>
        <v xml:space="preserve"> </v>
      </c>
      <c r="C964" s="10" t="str">
        <f t="shared" si="60"/>
        <v xml:space="preserve"> </v>
      </c>
      <c r="D964" s="10">
        <f t="shared" si="62"/>
        <v>0</v>
      </c>
      <c r="E964" s="10">
        <f t="shared" si="63"/>
        <v>0</v>
      </c>
      <c r="W964" t="str">
        <f>IFERROR(MID(Проливка[[#This Row],[Штрихкод ]],1,FIND("-",Проливка[[#This Row],[Штрихкод ]],1)-1)," ")</f>
        <v xml:space="preserve"> </v>
      </c>
      <c r="X964" t="str">
        <f>IFERROR(RIGHT(Проливка[[#This Row],[Штрихкод ]],LEN(Проливка[[#This Row],[Штрихкод ]])-SEARCH("-",Проливка[[#This Row],[Штрихкод ]],1))," ")</f>
        <v xml:space="preserve"> </v>
      </c>
      <c r="Y964">
        <f>IFERROR(VLOOKUP(Проливка[[#This Row],[ID]]*1,'Срок хранения'!A964:B1062,2,0),0)</f>
        <v>0</v>
      </c>
      <c r="Z964">
        <f>IFERROR(VLOOKUP(Проливка[[#This Row],[ID]]*1,'Срок хранения'!A964:C1062,3,0),0)</f>
        <v>0</v>
      </c>
    </row>
    <row r="965" spans="1:26" x14ac:dyDescent="0.25">
      <c r="A965" s="9"/>
      <c r="B965" s="12" t="str">
        <f t="shared" si="61"/>
        <v xml:space="preserve"> </v>
      </c>
      <c r="C965" s="10" t="str">
        <f t="shared" si="60"/>
        <v xml:space="preserve"> </v>
      </c>
      <c r="D965" s="10">
        <f t="shared" si="62"/>
        <v>0</v>
      </c>
      <c r="E965" s="10">
        <f t="shared" si="63"/>
        <v>0</v>
      </c>
      <c r="W965" t="str">
        <f>IFERROR(MID(Проливка[[#This Row],[Штрихкод ]],1,FIND("-",Проливка[[#This Row],[Штрихкод ]],1)-1)," ")</f>
        <v xml:space="preserve"> </v>
      </c>
      <c r="X965" t="str">
        <f>IFERROR(RIGHT(Проливка[[#This Row],[Штрихкод ]],LEN(Проливка[[#This Row],[Штрихкод ]])-SEARCH("-",Проливка[[#This Row],[Штрихкод ]],1))," ")</f>
        <v xml:space="preserve"> </v>
      </c>
      <c r="Y965">
        <f>IFERROR(VLOOKUP(Проливка[[#This Row],[ID]]*1,'Срок хранения'!A965:B1063,2,0),0)</f>
        <v>0</v>
      </c>
      <c r="Z965">
        <f>IFERROR(VLOOKUP(Проливка[[#This Row],[ID]]*1,'Срок хранения'!A965:C1063,3,0),0)</f>
        <v>0</v>
      </c>
    </row>
    <row r="966" spans="1:26" x14ac:dyDescent="0.25">
      <c r="A966" s="9"/>
      <c r="B966" s="12" t="str">
        <f t="shared" si="61"/>
        <v xml:space="preserve"> </v>
      </c>
      <c r="C966" s="10" t="str">
        <f t="shared" si="60"/>
        <v xml:space="preserve"> </v>
      </c>
      <c r="D966" s="10">
        <f t="shared" si="62"/>
        <v>0</v>
      </c>
      <c r="E966" s="10">
        <f t="shared" si="63"/>
        <v>0</v>
      </c>
      <c r="W966" t="str">
        <f>IFERROR(MID(Проливка[[#This Row],[Штрихкод ]],1,FIND("-",Проливка[[#This Row],[Штрихкод ]],1)-1)," ")</f>
        <v xml:space="preserve"> </v>
      </c>
      <c r="X966" t="str">
        <f>IFERROR(RIGHT(Проливка[[#This Row],[Штрихкод ]],LEN(Проливка[[#This Row],[Штрихкод ]])-SEARCH("-",Проливка[[#This Row],[Штрихкод ]],1))," ")</f>
        <v xml:space="preserve"> </v>
      </c>
      <c r="Y966">
        <f>IFERROR(VLOOKUP(Проливка[[#This Row],[ID]]*1,'Срок хранения'!A966:B1064,2,0),0)</f>
        <v>0</v>
      </c>
      <c r="Z966">
        <f>IFERROR(VLOOKUP(Проливка[[#This Row],[ID]]*1,'Срок хранения'!A966:C1064,3,0),0)</f>
        <v>0</v>
      </c>
    </row>
    <row r="967" spans="1:26" x14ac:dyDescent="0.25">
      <c r="A967" s="9"/>
      <c r="B967" s="12" t="str">
        <f t="shared" si="61"/>
        <v xml:space="preserve"> </v>
      </c>
      <c r="C967" s="10" t="str">
        <f t="shared" si="60"/>
        <v xml:space="preserve"> </v>
      </c>
      <c r="D967" s="10">
        <f t="shared" si="62"/>
        <v>0</v>
      </c>
      <c r="E967" s="10">
        <f t="shared" si="63"/>
        <v>0</v>
      </c>
      <c r="W967" t="str">
        <f>IFERROR(MID(Проливка[[#This Row],[Штрихкод ]],1,FIND("-",Проливка[[#This Row],[Штрихкод ]],1)-1)," ")</f>
        <v xml:space="preserve"> </v>
      </c>
      <c r="X967" t="str">
        <f>IFERROR(RIGHT(Проливка[[#This Row],[Штрихкод ]],LEN(Проливка[[#This Row],[Штрихкод ]])-SEARCH("-",Проливка[[#This Row],[Штрихкод ]],1))," ")</f>
        <v xml:space="preserve"> </v>
      </c>
      <c r="Y967">
        <f>IFERROR(VLOOKUP(Проливка[[#This Row],[ID]]*1,'Срок хранения'!A967:B1065,2,0),0)</f>
        <v>0</v>
      </c>
      <c r="Z967">
        <f>IFERROR(VLOOKUP(Проливка[[#This Row],[ID]]*1,'Срок хранения'!A967:C1065,3,0),0)</f>
        <v>0</v>
      </c>
    </row>
    <row r="968" spans="1:26" x14ac:dyDescent="0.25">
      <c r="A968" s="9"/>
      <c r="B968" s="12" t="str">
        <f t="shared" si="61"/>
        <v xml:space="preserve"> </v>
      </c>
      <c r="C968" s="10" t="str">
        <f t="shared" si="60"/>
        <v xml:space="preserve"> </v>
      </c>
      <c r="D968" s="10">
        <f t="shared" si="62"/>
        <v>0</v>
      </c>
      <c r="E968" s="10">
        <f t="shared" si="63"/>
        <v>0</v>
      </c>
      <c r="W968" t="str">
        <f>IFERROR(MID(Проливка[[#This Row],[Штрихкод ]],1,FIND("-",Проливка[[#This Row],[Штрихкод ]],1)-1)," ")</f>
        <v xml:space="preserve"> </v>
      </c>
      <c r="X968" t="str">
        <f>IFERROR(RIGHT(Проливка[[#This Row],[Штрихкод ]],LEN(Проливка[[#This Row],[Штрихкод ]])-SEARCH("-",Проливка[[#This Row],[Штрихкод ]],1))," ")</f>
        <v xml:space="preserve"> </v>
      </c>
      <c r="Y968">
        <f>IFERROR(VLOOKUP(Проливка[[#This Row],[ID]]*1,'Срок хранения'!A968:B1066,2,0),0)</f>
        <v>0</v>
      </c>
      <c r="Z968">
        <f>IFERROR(VLOOKUP(Проливка[[#This Row],[ID]]*1,'Срок хранения'!A968:C1066,3,0),0)</f>
        <v>0</v>
      </c>
    </row>
    <row r="969" spans="1:26" x14ac:dyDescent="0.25">
      <c r="A969" s="9"/>
      <c r="B969" s="12" t="str">
        <f t="shared" si="61"/>
        <v xml:space="preserve"> </v>
      </c>
      <c r="C969" s="10" t="str">
        <f t="shared" si="60"/>
        <v xml:space="preserve"> </v>
      </c>
      <c r="D969" s="10">
        <f t="shared" si="62"/>
        <v>0</v>
      </c>
      <c r="E969" s="10">
        <f t="shared" si="63"/>
        <v>0</v>
      </c>
      <c r="W969" t="str">
        <f>IFERROR(MID(Проливка[[#This Row],[Штрихкод ]],1,FIND("-",Проливка[[#This Row],[Штрихкод ]],1)-1)," ")</f>
        <v xml:space="preserve"> </v>
      </c>
      <c r="X969" t="str">
        <f>IFERROR(RIGHT(Проливка[[#This Row],[Штрихкод ]],LEN(Проливка[[#This Row],[Штрихкод ]])-SEARCH("-",Проливка[[#This Row],[Штрихкод ]],1))," ")</f>
        <v xml:space="preserve"> </v>
      </c>
      <c r="Y969">
        <f>IFERROR(VLOOKUP(Проливка[[#This Row],[ID]]*1,'Срок хранения'!A969:B1067,2,0),0)</f>
        <v>0</v>
      </c>
      <c r="Z969">
        <f>IFERROR(VLOOKUP(Проливка[[#This Row],[ID]]*1,'Срок хранения'!A969:C1067,3,0),0)</f>
        <v>0</v>
      </c>
    </row>
    <row r="970" spans="1:26" x14ac:dyDescent="0.25">
      <c r="A970" s="9"/>
      <c r="B970" s="12" t="str">
        <f t="shared" si="61"/>
        <v xml:space="preserve"> </v>
      </c>
      <c r="C970" s="10" t="str">
        <f t="shared" si="60"/>
        <v xml:space="preserve"> </v>
      </c>
      <c r="D970" s="10">
        <f t="shared" si="62"/>
        <v>0</v>
      </c>
      <c r="E970" s="10">
        <f t="shared" si="63"/>
        <v>0</v>
      </c>
      <c r="W970" t="str">
        <f>IFERROR(MID(Проливка[[#This Row],[Штрихкод ]],1,FIND("-",Проливка[[#This Row],[Штрихкод ]],1)-1)," ")</f>
        <v xml:space="preserve"> </v>
      </c>
      <c r="X970" t="str">
        <f>IFERROR(RIGHT(Проливка[[#This Row],[Штрихкод ]],LEN(Проливка[[#This Row],[Штрихкод ]])-SEARCH("-",Проливка[[#This Row],[Штрихкод ]],1))," ")</f>
        <v xml:space="preserve"> </v>
      </c>
      <c r="Y970">
        <f>IFERROR(VLOOKUP(Проливка[[#This Row],[ID]]*1,'Срок хранения'!A970:B1068,2,0),0)</f>
        <v>0</v>
      </c>
      <c r="Z970">
        <f>IFERROR(VLOOKUP(Проливка[[#This Row],[ID]]*1,'Срок хранения'!A970:C1068,3,0),0)</f>
        <v>0</v>
      </c>
    </row>
    <row r="971" spans="1:26" x14ac:dyDescent="0.25">
      <c r="A971" s="9"/>
      <c r="B971" s="12" t="str">
        <f t="shared" si="61"/>
        <v xml:space="preserve"> </v>
      </c>
      <c r="C971" s="10" t="str">
        <f t="shared" si="60"/>
        <v xml:space="preserve"> </v>
      </c>
      <c r="D971" s="10">
        <f t="shared" si="62"/>
        <v>0</v>
      </c>
      <c r="E971" s="10">
        <f t="shared" si="63"/>
        <v>0</v>
      </c>
      <c r="W971" t="str">
        <f>IFERROR(MID(Проливка[[#This Row],[Штрихкод ]],1,FIND("-",Проливка[[#This Row],[Штрихкод ]],1)-1)," ")</f>
        <v xml:space="preserve"> </v>
      </c>
      <c r="X971" t="str">
        <f>IFERROR(RIGHT(Проливка[[#This Row],[Штрихкод ]],LEN(Проливка[[#This Row],[Штрихкод ]])-SEARCH("-",Проливка[[#This Row],[Штрихкод ]],1))," ")</f>
        <v xml:space="preserve"> </v>
      </c>
      <c r="Y971">
        <f>IFERROR(VLOOKUP(Проливка[[#This Row],[ID]]*1,'Срок хранения'!A971:B1069,2,0),0)</f>
        <v>0</v>
      </c>
      <c r="Z971">
        <f>IFERROR(VLOOKUP(Проливка[[#This Row],[ID]]*1,'Срок хранения'!A971:C1069,3,0),0)</f>
        <v>0</v>
      </c>
    </row>
    <row r="972" spans="1:26" x14ac:dyDescent="0.25">
      <c r="A972" s="9"/>
      <c r="B972" s="12" t="str">
        <f t="shared" si="61"/>
        <v xml:space="preserve"> </v>
      </c>
      <c r="C972" s="10" t="str">
        <f t="shared" si="60"/>
        <v xml:space="preserve"> </v>
      </c>
      <c r="D972" s="10">
        <f t="shared" si="62"/>
        <v>0</v>
      </c>
      <c r="E972" s="10">
        <f t="shared" si="63"/>
        <v>0</v>
      </c>
      <c r="W972" t="str">
        <f>IFERROR(MID(Проливка[[#This Row],[Штрихкод ]],1,FIND("-",Проливка[[#This Row],[Штрихкод ]],1)-1)," ")</f>
        <v xml:space="preserve"> </v>
      </c>
      <c r="X972" t="str">
        <f>IFERROR(RIGHT(Проливка[[#This Row],[Штрихкод ]],LEN(Проливка[[#This Row],[Штрихкод ]])-SEARCH("-",Проливка[[#This Row],[Штрихкод ]],1))," ")</f>
        <v xml:space="preserve"> </v>
      </c>
      <c r="Y972">
        <f>IFERROR(VLOOKUP(Проливка[[#This Row],[ID]]*1,'Срок хранения'!A972:B1070,2,0),0)</f>
        <v>0</v>
      </c>
      <c r="Z972">
        <f>IFERROR(VLOOKUP(Проливка[[#This Row],[ID]]*1,'Срок хранения'!A972:C1070,3,0),0)</f>
        <v>0</v>
      </c>
    </row>
    <row r="973" spans="1:26" x14ac:dyDescent="0.25">
      <c r="A973" s="9"/>
      <c r="B973" s="12" t="str">
        <f t="shared" si="61"/>
        <v xml:space="preserve"> </v>
      </c>
      <c r="C973" s="10" t="str">
        <f t="shared" si="60"/>
        <v xml:space="preserve"> </v>
      </c>
      <c r="D973" s="10">
        <f t="shared" si="62"/>
        <v>0</v>
      </c>
      <c r="E973" s="10">
        <f t="shared" si="63"/>
        <v>0</v>
      </c>
      <c r="W973" t="str">
        <f>IFERROR(MID(Проливка[[#This Row],[Штрихкод ]],1,FIND("-",Проливка[[#This Row],[Штрихкод ]],1)-1)," ")</f>
        <v xml:space="preserve"> </v>
      </c>
      <c r="X973" t="str">
        <f>IFERROR(RIGHT(Проливка[[#This Row],[Штрихкод ]],LEN(Проливка[[#This Row],[Штрихкод ]])-SEARCH("-",Проливка[[#This Row],[Штрихкод ]],1))," ")</f>
        <v xml:space="preserve"> </v>
      </c>
      <c r="Y973">
        <f>IFERROR(VLOOKUP(Проливка[[#This Row],[ID]]*1,'Срок хранения'!A973:B1071,2,0),0)</f>
        <v>0</v>
      </c>
      <c r="Z973">
        <f>IFERROR(VLOOKUP(Проливка[[#This Row],[ID]]*1,'Срок хранения'!A973:C1071,3,0),0)</f>
        <v>0</v>
      </c>
    </row>
    <row r="974" spans="1:26" x14ac:dyDescent="0.25">
      <c r="A974" s="9"/>
      <c r="B974" s="12" t="str">
        <f t="shared" si="61"/>
        <v xml:space="preserve"> </v>
      </c>
      <c r="C974" s="10" t="str">
        <f t="shared" si="60"/>
        <v xml:space="preserve"> </v>
      </c>
      <c r="D974" s="10">
        <f t="shared" si="62"/>
        <v>0</v>
      </c>
      <c r="E974" s="10">
        <f t="shared" si="63"/>
        <v>0</v>
      </c>
      <c r="W974" t="str">
        <f>IFERROR(MID(Проливка[[#This Row],[Штрихкод ]],1,FIND("-",Проливка[[#This Row],[Штрихкод ]],1)-1)," ")</f>
        <v xml:space="preserve"> </v>
      </c>
      <c r="X974" t="str">
        <f>IFERROR(RIGHT(Проливка[[#This Row],[Штрихкод ]],LEN(Проливка[[#This Row],[Штрихкод ]])-SEARCH("-",Проливка[[#This Row],[Штрихкод ]],1))," ")</f>
        <v xml:space="preserve"> </v>
      </c>
      <c r="Y974">
        <f>IFERROR(VLOOKUP(Проливка[[#This Row],[ID]]*1,'Срок хранения'!A974:B1072,2,0),0)</f>
        <v>0</v>
      </c>
      <c r="Z974">
        <f>IFERROR(VLOOKUP(Проливка[[#This Row],[ID]]*1,'Срок хранения'!A974:C1072,3,0),0)</f>
        <v>0</v>
      </c>
    </row>
    <row r="975" spans="1:26" x14ac:dyDescent="0.25">
      <c r="A975" s="9"/>
      <c r="B975" s="12" t="str">
        <f t="shared" si="61"/>
        <v xml:space="preserve"> </v>
      </c>
      <c r="C975" s="10" t="str">
        <f t="shared" si="60"/>
        <v xml:space="preserve"> </v>
      </c>
      <c r="D975" s="10">
        <f t="shared" si="62"/>
        <v>0</v>
      </c>
      <c r="E975" s="10">
        <f t="shared" si="63"/>
        <v>0</v>
      </c>
      <c r="W975" t="str">
        <f>IFERROR(MID(Проливка[[#This Row],[Штрихкод ]],1,FIND("-",Проливка[[#This Row],[Штрихкод ]],1)-1)," ")</f>
        <v xml:space="preserve"> </v>
      </c>
      <c r="X975" t="str">
        <f>IFERROR(RIGHT(Проливка[[#This Row],[Штрихкод ]],LEN(Проливка[[#This Row],[Штрихкод ]])-SEARCH("-",Проливка[[#This Row],[Штрихкод ]],1))," ")</f>
        <v xml:space="preserve"> </v>
      </c>
      <c r="Y975">
        <f>IFERROR(VLOOKUP(Проливка[[#This Row],[ID]]*1,'Срок хранения'!A975:B1073,2,0),0)</f>
        <v>0</v>
      </c>
      <c r="Z975">
        <f>IFERROR(VLOOKUP(Проливка[[#This Row],[ID]]*1,'Срок хранения'!A975:C1073,3,0),0)</f>
        <v>0</v>
      </c>
    </row>
    <row r="976" spans="1:26" x14ac:dyDescent="0.25">
      <c r="A976" s="9"/>
      <c r="B976" s="12" t="str">
        <f t="shared" si="61"/>
        <v xml:space="preserve"> </v>
      </c>
      <c r="C976" s="10" t="str">
        <f t="shared" si="60"/>
        <v xml:space="preserve"> </v>
      </c>
      <c r="D976" s="10">
        <f t="shared" si="62"/>
        <v>0</v>
      </c>
      <c r="E976" s="10">
        <f t="shared" si="63"/>
        <v>0</v>
      </c>
      <c r="W976" t="str">
        <f>IFERROR(MID(Проливка[[#This Row],[Штрихкод ]],1,FIND("-",Проливка[[#This Row],[Штрихкод ]],1)-1)," ")</f>
        <v xml:space="preserve"> </v>
      </c>
      <c r="X976" t="str">
        <f>IFERROR(RIGHT(Проливка[[#This Row],[Штрихкод ]],LEN(Проливка[[#This Row],[Штрихкод ]])-SEARCH("-",Проливка[[#This Row],[Штрихкод ]],1))," ")</f>
        <v xml:space="preserve"> </v>
      </c>
      <c r="Y976">
        <f>IFERROR(VLOOKUP(Проливка[[#This Row],[ID]]*1,'Срок хранения'!A976:B1074,2,0),0)</f>
        <v>0</v>
      </c>
      <c r="Z976">
        <f>IFERROR(VLOOKUP(Проливка[[#This Row],[ID]]*1,'Срок хранения'!A976:C1074,3,0),0)</f>
        <v>0</v>
      </c>
    </row>
    <row r="977" spans="1:26" x14ac:dyDescent="0.25">
      <c r="A977" s="9"/>
      <c r="B977" s="12" t="str">
        <f t="shared" si="61"/>
        <v xml:space="preserve"> </v>
      </c>
      <c r="C977" s="10" t="str">
        <f t="shared" si="60"/>
        <v xml:space="preserve"> </v>
      </c>
      <c r="D977" s="10">
        <f t="shared" si="62"/>
        <v>0</v>
      </c>
      <c r="E977" s="10">
        <f t="shared" si="63"/>
        <v>0</v>
      </c>
      <c r="W977" t="str">
        <f>IFERROR(MID(Проливка[[#This Row],[Штрихкод ]],1,FIND("-",Проливка[[#This Row],[Штрихкод ]],1)-1)," ")</f>
        <v xml:space="preserve"> </v>
      </c>
      <c r="X977" t="str">
        <f>IFERROR(RIGHT(Проливка[[#This Row],[Штрихкод ]],LEN(Проливка[[#This Row],[Штрихкод ]])-SEARCH("-",Проливка[[#This Row],[Штрихкод ]],1))," ")</f>
        <v xml:space="preserve"> </v>
      </c>
      <c r="Y977">
        <f>IFERROR(VLOOKUP(Проливка[[#This Row],[ID]]*1,'Срок хранения'!A977:B1075,2,0),0)</f>
        <v>0</v>
      </c>
      <c r="Z977">
        <f>IFERROR(VLOOKUP(Проливка[[#This Row],[ID]]*1,'Срок хранения'!A977:C1075,3,0),0)</f>
        <v>0</v>
      </c>
    </row>
    <row r="978" spans="1:26" x14ac:dyDescent="0.25">
      <c r="A978" s="9"/>
      <c r="B978" s="12" t="str">
        <f t="shared" si="61"/>
        <v xml:space="preserve"> </v>
      </c>
      <c r="C978" s="10" t="str">
        <f t="shared" si="60"/>
        <v xml:space="preserve"> </v>
      </c>
      <c r="D978" s="10">
        <f t="shared" si="62"/>
        <v>0</v>
      </c>
      <c r="E978" s="10">
        <f t="shared" si="63"/>
        <v>0</v>
      </c>
      <c r="W978" t="str">
        <f>IFERROR(MID(Проливка[[#This Row],[Штрихкод ]],1,FIND("-",Проливка[[#This Row],[Штрихкод ]],1)-1)," ")</f>
        <v xml:space="preserve"> </v>
      </c>
      <c r="X978" t="str">
        <f>IFERROR(RIGHT(Проливка[[#This Row],[Штрихкод ]],LEN(Проливка[[#This Row],[Штрихкод ]])-SEARCH("-",Проливка[[#This Row],[Штрихкод ]],1))," ")</f>
        <v xml:space="preserve"> </v>
      </c>
      <c r="Y978">
        <f>IFERROR(VLOOKUP(Проливка[[#This Row],[ID]]*1,'Срок хранения'!A978:B1076,2,0),0)</f>
        <v>0</v>
      </c>
      <c r="Z978">
        <f>IFERROR(VLOOKUP(Проливка[[#This Row],[ID]]*1,'Срок хранения'!A978:C1076,3,0),0)</f>
        <v>0</v>
      </c>
    </row>
    <row r="979" spans="1:26" x14ac:dyDescent="0.25">
      <c r="A979" s="9"/>
      <c r="B979" s="12" t="str">
        <f t="shared" si="61"/>
        <v xml:space="preserve"> </v>
      </c>
      <c r="C979" s="10" t="str">
        <f t="shared" si="60"/>
        <v xml:space="preserve"> </v>
      </c>
      <c r="D979" s="10">
        <f t="shared" si="62"/>
        <v>0</v>
      </c>
      <c r="E979" s="10">
        <f t="shared" si="63"/>
        <v>0</v>
      </c>
      <c r="W979" t="str">
        <f>IFERROR(MID(Проливка[[#This Row],[Штрихкод ]],1,FIND("-",Проливка[[#This Row],[Штрихкод ]],1)-1)," ")</f>
        <v xml:space="preserve"> </v>
      </c>
      <c r="X979" t="str">
        <f>IFERROR(RIGHT(Проливка[[#This Row],[Штрихкод ]],LEN(Проливка[[#This Row],[Штрихкод ]])-SEARCH("-",Проливка[[#This Row],[Штрихкод ]],1))," ")</f>
        <v xml:space="preserve"> </v>
      </c>
      <c r="Y979">
        <f>IFERROR(VLOOKUP(Проливка[[#This Row],[ID]]*1,'Срок хранения'!A979:B1077,2,0),0)</f>
        <v>0</v>
      </c>
      <c r="Z979">
        <f>IFERROR(VLOOKUP(Проливка[[#This Row],[ID]]*1,'Срок хранения'!A979:C1077,3,0),0)</f>
        <v>0</v>
      </c>
    </row>
    <row r="980" spans="1:26" x14ac:dyDescent="0.25">
      <c r="A980" s="9"/>
      <c r="B980" s="12" t="str">
        <f t="shared" si="61"/>
        <v xml:space="preserve"> </v>
      </c>
      <c r="C980" s="10" t="str">
        <f t="shared" si="60"/>
        <v xml:space="preserve"> </v>
      </c>
      <c r="D980" s="10">
        <f t="shared" si="62"/>
        <v>0</v>
      </c>
      <c r="E980" s="10">
        <f t="shared" si="63"/>
        <v>0</v>
      </c>
      <c r="W980" t="str">
        <f>IFERROR(MID(Проливка[[#This Row],[Штрихкод ]],1,FIND("-",Проливка[[#This Row],[Штрихкод ]],1)-1)," ")</f>
        <v xml:space="preserve"> </v>
      </c>
      <c r="X980" t="str">
        <f>IFERROR(RIGHT(Проливка[[#This Row],[Штрихкод ]],LEN(Проливка[[#This Row],[Штрихкод ]])-SEARCH("-",Проливка[[#This Row],[Штрихкод ]],1))," ")</f>
        <v xml:space="preserve"> </v>
      </c>
      <c r="Y980">
        <f>IFERROR(VLOOKUP(Проливка[[#This Row],[ID]]*1,'Срок хранения'!A980:B1078,2,0),0)</f>
        <v>0</v>
      </c>
      <c r="Z980">
        <f>IFERROR(VLOOKUP(Проливка[[#This Row],[ID]]*1,'Срок хранения'!A980:C1078,3,0),0)</f>
        <v>0</v>
      </c>
    </row>
    <row r="981" spans="1:26" x14ac:dyDescent="0.25">
      <c r="A981" s="9"/>
      <c r="B981" s="12" t="str">
        <f t="shared" si="61"/>
        <v xml:space="preserve"> </v>
      </c>
      <c r="C981" s="10" t="str">
        <f t="shared" si="60"/>
        <v xml:space="preserve"> </v>
      </c>
      <c r="D981" s="10">
        <f t="shared" si="62"/>
        <v>0</v>
      </c>
      <c r="E981" s="10">
        <f t="shared" si="63"/>
        <v>0</v>
      </c>
      <c r="W981" t="str">
        <f>IFERROR(MID(Проливка[[#This Row],[Штрихкод ]],1,FIND("-",Проливка[[#This Row],[Штрихкод ]],1)-1)," ")</f>
        <v xml:space="preserve"> </v>
      </c>
      <c r="X981" t="str">
        <f>IFERROR(RIGHT(Проливка[[#This Row],[Штрихкод ]],LEN(Проливка[[#This Row],[Штрихкод ]])-SEARCH("-",Проливка[[#This Row],[Штрихкод ]],1))," ")</f>
        <v xml:space="preserve"> </v>
      </c>
      <c r="Y981">
        <f>IFERROR(VLOOKUP(Проливка[[#This Row],[ID]]*1,'Срок хранения'!A981:B1079,2,0),0)</f>
        <v>0</v>
      </c>
      <c r="Z981">
        <f>IFERROR(VLOOKUP(Проливка[[#This Row],[ID]]*1,'Срок хранения'!A981:C1079,3,0),0)</f>
        <v>0</v>
      </c>
    </row>
    <row r="982" spans="1:26" x14ac:dyDescent="0.25">
      <c r="A982" s="9"/>
      <c r="B982" s="12" t="str">
        <f t="shared" si="61"/>
        <v xml:space="preserve"> </v>
      </c>
      <c r="C982" s="10" t="str">
        <f t="shared" si="60"/>
        <v xml:space="preserve"> </v>
      </c>
      <c r="D982" s="10">
        <f t="shared" si="62"/>
        <v>0</v>
      </c>
      <c r="E982" s="10">
        <f t="shared" si="63"/>
        <v>0</v>
      </c>
      <c r="W982" t="str">
        <f>IFERROR(MID(Проливка[[#This Row],[Штрихкод ]],1,FIND("-",Проливка[[#This Row],[Штрихкод ]],1)-1)," ")</f>
        <v xml:space="preserve"> </v>
      </c>
      <c r="X982" t="str">
        <f>IFERROR(RIGHT(Проливка[[#This Row],[Штрихкод ]],LEN(Проливка[[#This Row],[Штрихкод ]])-SEARCH("-",Проливка[[#This Row],[Штрихкод ]],1))," ")</f>
        <v xml:space="preserve"> </v>
      </c>
      <c r="Y982">
        <f>IFERROR(VLOOKUP(Проливка[[#This Row],[ID]]*1,'Срок хранения'!A982:B1080,2,0),0)</f>
        <v>0</v>
      </c>
      <c r="Z982">
        <f>IFERROR(VLOOKUP(Проливка[[#This Row],[ID]]*1,'Срок хранения'!A982:C1080,3,0),0)</f>
        <v>0</v>
      </c>
    </row>
    <row r="983" spans="1:26" x14ac:dyDescent="0.25">
      <c r="A983" s="9"/>
      <c r="B983" s="12" t="str">
        <f t="shared" si="61"/>
        <v xml:space="preserve"> </v>
      </c>
      <c r="C983" s="10" t="str">
        <f t="shared" si="60"/>
        <v xml:space="preserve"> </v>
      </c>
      <c r="D983" s="10">
        <f t="shared" si="62"/>
        <v>0</v>
      </c>
      <c r="E983" s="10">
        <f t="shared" si="63"/>
        <v>0</v>
      </c>
      <c r="W983" t="str">
        <f>IFERROR(MID(Проливка[[#This Row],[Штрихкод ]],1,FIND("-",Проливка[[#This Row],[Штрихкод ]],1)-1)," ")</f>
        <v xml:space="preserve"> </v>
      </c>
      <c r="X983" t="str">
        <f>IFERROR(RIGHT(Проливка[[#This Row],[Штрихкод ]],LEN(Проливка[[#This Row],[Штрихкод ]])-SEARCH("-",Проливка[[#This Row],[Штрихкод ]],1))," ")</f>
        <v xml:space="preserve"> </v>
      </c>
      <c r="Y983">
        <f>IFERROR(VLOOKUP(Проливка[[#This Row],[ID]]*1,'Срок хранения'!A983:B1081,2,0),0)</f>
        <v>0</v>
      </c>
      <c r="Z983">
        <f>IFERROR(VLOOKUP(Проливка[[#This Row],[ID]]*1,'Срок хранения'!A983:C1081,3,0),0)</f>
        <v>0</v>
      </c>
    </row>
    <row r="984" spans="1:26" x14ac:dyDescent="0.25">
      <c r="A984" s="9"/>
      <c r="B984" s="12" t="str">
        <f t="shared" si="61"/>
        <v xml:space="preserve"> </v>
      </c>
      <c r="C984" s="10" t="str">
        <f t="shared" si="60"/>
        <v xml:space="preserve"> </v>
      </c>
      <c r="D984" s="10">
        <f t="shared" si="62"/>
        <v>0</v>
      </c>
      <c r="E984" s="10">
        <f t="shared" si="63"/>
        <v>0</v>
      </c>
      <c r="W984" t="str">
        <f>IFERROR(MID(Проливка[[#This Row],[Штрихкод ]],1,FIND("-",Проливка[[#This Row],[Штрихкод ]],1)-1)," ")</f>
        <v xml:space="preserve"> </v>
      </c>
      <c r="X984" t="str">
        <f>IFERROR(RIGHT(Проливка[[#This Row],[Штрихкод ]],LEN(Проливка[[#This Row],[Штрихкод ]])-SEARCH("-",Проливка[[#This Row],[Штрихкод ]],1))," ")</f>
        <v xml:space="preserve"> </v>
      </c>
      <c r="Y984">
        <f>IFERROR(VLOOKUP(Проливка[[#This Row],[ID]]*1,'Срок хранения'!A984:B1082,2,0),0)</f>
        <v>0</v>
      </c>
      <c r="Z984">
        <f>IFERROR(VLOOKUP(Проливка[[#This Row],[ID]]*1,'Срок хранения'!A984:C1082,3,0),0)</f>
        <v>0</v>
      </c>
    </row>
    <row r="985" spans="1:26" x14ac:dyDescent="0.25">
      <c r="A985" s="9"/>
      <c r="B985" s="12" t="str">
        <f t="shared" si="61"/>
        <v xml:space="preserve"> </v>
      </c>
      <c r="C985" s="10" t="str">
        <f t="shared" si="60"/>
        <v xml:space="preserve"> </v>
      </c>
      <c r="D985" s="10">
        <f t="shared" si="62"/>
        <v>0</v>
      </c>
      <c r="E985" s="10">
        <f t="shared" si="63"/>
        <v>0</v>
      </c>
      <c r="W985" t="str">
        <f>IFERROR(MID(Проливка[[#This Row],[Штрихкод ]],1,FIND("-",Проливка[[#This Row],[Штрихкод ]],1)-1)," ")</f>
        <v xml:space="preserve"> </v>
      </c>
      <c r="X985" t="str">
        <f>IFERROR(RIGHT(Проливка[[#This Row],[Штрихкод ]],LEN(Проливка[[#This Row],[Штрихкод ]])-SEARCH("-",Проливка[[#This Row],[Штрихкод ]],1))," ")</f>
        <v xml:space="preserve"> </v>
      </c>
      <c r="Y985">
        <f>IFERROR(VLOOKUP(Проливка[[#This Row],[ID]]*1,'Срок хранения'!A985:B1083,2,0),0)</f>
        <v>0</v>
      </c>
      <c r="Z985">
        <f>IFERROR(VLOOKUP(Проливка[[#This Row],[ID]]*1,'Срок хранения'!A985:C1083,3,0),0)</f>
        <v>0</v>
      </c>
    </row>
    <row r="986" spans="1:26" x14ac:dyDescent="0.25">
      <c r="A986" s="9"/>
      <c r="B986" s="12" t="str">
        <f t="shared" si="61"/>
        <v xml:space="preserve"> </v>
      </c>
      <c r="C986" s="10" t="str">
        <f t="shared" si="60"/>
        <v xml:space="preserve"> </v>
      </c>
      <c r="D986" s="10">
        <f t="shared" si="62"/>
        <v>0</v>
      </c>
      <c r="E986" s="10">
        <f t="shared" si="63"/>
        <v>0</v>
      </c>
      <c r="W986" t="str">
        <f>IFERROR(MID(Проливка[[#This Row],[Штрихкод ]],1,FIND("-",Проливка[[#This Row],[Штрихкод ]],1)-1)," ")</f>
        <v xml:space="preserve"> </v>
      </c>
      <c r="X986" t="str">
        <f>IFERROR(RIGHT(Проливка[[#This Row],[Штрихкод ]],LEN(Проливка[[#This Row],[Штрихкод ]])-SEARCH("-",Проливка[[#This Row],[Штрихкод ]],1))," ")</f>
        <v xml:space="preserve"> </v>
      </c>
      <c r="Y986">
        <f>IFERROR(VLOOKUP(Проливка[[#This Row],[ID]]*1,'Срок хранения'!A986:B1084,2,0),0)</f>
        <v>0</v>
      </c>
      <c r="Z986">
        <f>IFERROR(VLOOKUP(Проливка[[#This Row],[ID]]*1,'Срок хранения'!A986:C1084,3,0),0)</f>
        <v>0</v>
      </c>
    </row>
    <row r="987" spans="1:26" x14ac:dyDescent="0.25">
      <c r="A987" s="9"/>
      <c r="B987" s="12" t="str">
        <f t="shared" si="61"/>
        <v xml:space="preserve"> </v>
      </c>
      <c r="C987" s="10" t="str">
        <f t="shared" si="60"/>
        <v xml:space="preserve"> </v>
      </c>
      <c r="D987" s="10">
        <f t="shared" si="62"/>
        <v>0</v>
      </c>
      <c r="E987" s="10">
        <f t="shared" si="63"/>
        <v>0</v>
      </c>
      <c r="W987" t="str">
        <f>IFERROR(MID(Проливка[[#This Row],[Штрихкод ]],1,FIND("-",Проливка[[#This Row],[Штрихкод ]],1)-1)," ")</f>
        <v xml:space="preserve"> </v>
      </c>
      <c r="X987" t="str">
        <f>IFERROR(RIGHT(Проливка[[#This Row],[Штрихкод ]],LEN(Проливка[[#This Row],[Штрихкод ]])-SEARCH("-",Проливка[[#This Row],[Штрихкод ]],1))," ")</f>
        <v xml:space="preserve"> </v>
      </c>
      <c r="Y987">
        <f>IFERROR(VLOOKUP(Проливка[[#This Row],[ID]]*1,'Срок хранения'!A987:B1085,2,0),0)</f>
        <v>0</v>
      </c>
      <c r="Z987">
        <f>IFERROR(VLOOKUP(Проливка[[#This Row],[ID]]*1,'Срок хранения'!A987:C1085,3,0),0)</f>
        <v>0</v>
      </c>
    </row>
    <row r="988" spans="1:26" x14ac:dyDescent="0.25">
      <c r="A988" s="9"/>
      <c r="B988" s="12" t="str">
        <f t="shared" si="61"/>
        <v xml:space="preserve"> </v>
      </c>
      <c r="C988" s="10" t="str">
        <f t="shared" si="60"/>
        <v xml:space="preserve"> </v>
      </c>
      <c r="D988" s="10">
        <f t="shared" si="62"/>
        <v>0</v>
      </c>
      <c r="E988" s="10">
        <f t="shared" si="63"/>
        <v>0</v>
      </c>
      <c r="W988" t="str">
        <f>IFERROR(MID(Проливка[[#This Row],[Штрихкод ]],1,FIND("-",Проливка[[#This Row],[Штрихкод ]],1)-1)," ")</f>
        <v xml:space="preserve"> </v>
      </c>
      <c r="X988" t="str">
        <f>IFERROR(RIGHT(Проливка[[#This Row],[Штрихкод ]],LEN(Проливка[[#This Row],[Штрихкод ]])-SEARCH("-",Проливка[[#This Row],[Штрихкод ]],1))," ")</f>
        <v xml:space="preserve"> </v>
      </c>
      <c r="Y988">
        <f>IFERROR(VLOOKUP(Проливка[[#This Row],[ID]]*1,'Срок хранения'!A988:B1086,2,0),0)</f>
        <v>0</v>
      </c>
      <c r="Z988">
        <f>IFERROR(VLOOKUP(Проливка[[#This Row],[ID]]*1,'Срок хранения'!A988:C1086,3,0),0)</f>
        <v>0</v>
      </c>
    </row>
    <row r="989" spans="1:26" x14ac:dyDescent="0.25">
      <c r="A989" s="9"/>
      <c r="B989" s="12" t="str">
        <f t="shared" si="61"/>
        <v xml:space="preserve"> </v>
      </c>
      <c r="C989" s="10" t="str">
        <f t="shared" si="60"/>
        <v xml:space="preserve"> </v>
      </c>
      <c r="D989" s="10">
        <f t="shared" si="62"/>
        <v>0</v>
      </c>
      <c r="E989" s="10">
        <f t="shared" si="63"/>
        <v>0</v>
      </c>
      <c r="W989" t="str">
        <f>IFERROR(MID(Проливка[[#This Row],[Штрихкод ]],1,FIND("-",Проливка[[#This Row],[Штрихкод ]],1)-1)," ")</f>
        <v xml:space="preserve"> </v>
      </c>
      <c r="X989" t="str">
        <f>IFERROR(RIGHT(Проливка[[#This Row],[Штрихкод ]],LEN(Проливка[[#This Row],[Штрихкод ]])-SEARCH("-",Проливка[[#This Row],[Штрихкод ]],1))," ")</f>
        <v xml:space="preserve"> </v>
      </c>
      <c r="Y989">
        <f>IFERROR(VLOOKUP(Проливка[[#This Row],[ID]]*1,'Срок хранения'!A989:B1087,2,0),0)</f>
        <v>0</v>
      </c>
      <c r="Z989">
        <f>IFERROR(VLOOKUP(Проливка[[#This Row],[ID]]*1,'Срок хранения'!A989:C1087,3,0),0)</f>
        <v>0</v>
      </c>
    </row>
    <row r="990" spans="1:26" x14ac:dyDescent="0.25">
      <c r="A990" s="9"/>
      <c r="B990" s="12" t="str">
        <f t="shared" si="61"/>
        <v xml:space="preserve"> </v>
      </c>
      <c r="C990" s="10" t="str">
        <f t="shared" si="60"/>
        <v xml:space="preserve"> </v>
      </c>
      <c r="D990" s="10">
        <f t="shared" si="62"/>
        <v>0</v>
      </c>
      <c r="E990" s="10">
        <f t="shared" si="63"/>
        <v>0</v>
      </c>
      <c r="W990" t="str">
        <f>IFERROR(MID(Проливка[[#This Row],[Штрихкод ]],1,FIND("-",Проливка[[#This Row],[Штрихкод ]],1)-1)," ")</f>
        <v xml:space="preserve"> </v>
      </c>
      <c r="X990" t="str">
        <f>IFERROR(RIGHT(Проливка[[#This Row],[Штрихкод ]],LEN(Проливка[[#This Row],[Штрихкод ]])-SEARCH("-",Проливка[[#This Row],[Штрихкод ]],1))," ")</f>
        <v xml:space="preserve"> </v>
      </c>
      <c r="Y990">
        <f>IFERROR(VLOOKUP(Проливка[[#This Row],[ID]]*1,'Срок хранения'!A990:B1088,2,0),0)</f>
        <v>0</v>
      </c>
      <c r="Z990">
        <f>IFERROR(VLOOKUP(Проливка[[#This Row],[ID]]*1,'Срок хранения'!A990:C1088,3,0),0)</f>
        <v>0</v>
      </c>
    </row>
    <row r="991" spans="1:26" x14ac:dyDescent="0.25">
      <c r="A991" s="9"/>
      <c r="B991" s="12" t="str">
        <f t="shared" si="61"/>
        <v xml:space="preserve"> </v>
      </c>
      <c r="C991" s="10" t="str">
        <f t="shared" si="60"/>
        <v xml:space="preserve"> </v>
      </c>
      <c r="D991" s="10">
        <f t="shared" si="62"/>
        <v>0</v>
      </c>
      <c r="E991" s="10">
        <f t="shared" si="63"/>
        <v>0</v>
      </c>
      <c r="W991" t="str">
        <f>IFERROR(MID(Проливка[[#This Row],[Штрихкод ]],1,FIND("-",Проливка[[#This Row],[Штрихкод ]],1)-1)," ")</f>
        <v xml:space="preserve"> </v>
      </c>
      <c r="X991" t="str">
        <f>IFERROR(RIGHT(Проливка[[#This Row],[Штрихкод ]],LEN(Проливка[[#This Row],[Штрихкод ]])-SEARCH("-",Проливка[[#This Row],[Штрихкод ]],1))," ")</f>
        <v xml:space="preserve"> </v>
      </c>
      <c r="Y991">
        <f>IFERROR(VLOOKUP(Проливка[[#This Row],[ID]]*1,'Срок хранения'!A991:B1089,2,0),0)</f>
        <v>0</v>
      </c>
      <c r="Z991">
        <f>IFERROR(VLOOKUP(Проливка[[#This Row],[ID]]*1,'Срок хранения'!A991:C1089,3,0),0)</f>
        <v>0</v>
      </c>
    </row>
    <row r="992" spans="1:26" x14ac:dyDescent="0.25">
      <c r="A992" s="9"/>
      <c r="B992" s="12" t="str">
        <f t="shared" si="61"/>
        <v xml:space="preserve"> </v>
      </c>
      <c r="C992" s="10" t="str">
        <f t="shared" si="60"/>
        <v xml:space="preserve"> </v>
      </c>
      <c r="D992" s="10">
        <f t="shared" si="62"/>
        <v>0</v>
      </c>
      <c r="E992" s="10">
        <f t="shared" si="63"/>
        <v>0</v>
      </c>
      <c r="W992" t="str">
        <f>IFERROR(MID(Проливка[[#This Row],[Штрихкод ]],1,FIND("-",Проливка[[#This Row],[Штрихкод ]],1)-1)," ")</f>
        <v xml:space="preserve"> </v>
      </c>
      <c r="X992" t="str">
        <f>IFERROR(RIGHT(Проливка[[#This Row],[Штрихкод ]],LEN(Проливка[[#This Row],[Штрихкод ]])-SEARCH("-",Проливка[[#This Row],[Штрихкод ]],1))," ")</f>
        <v xml:space="preserve"> </v>
      </c>
      <c r="Y992">
        <f>IFERROR(VLOOKUP(Проливка[[#This Row],[ID]]*1,'Срок хранения'!A992:B1090,2,0),0)</f>
        <v>0</v>
      </c>
      <c r="Z992">
        <f>IFERROR(VLOOKUP(Проливка[[#This Row],[ID]]*1,'Срок хранения'!A992:C1090,3,0),0)</f>
        <v>0</v>
      </c>
    </row>
    <row r="993" spans="1:26" x14ac:dyDescent="0.25">
      <c r="A993" s="9"/>
      <c r="B993" s="12" t="str">
        <f t="shared" si="61"/>
        <v xml:space="preserve"> </v>
      </c>
      <c r="C993" s="10" t="str">
        <f t="shared" si="60"/>
        <v xml:space="preserve"> </v>
      </c>
      <c r="D993" s="10">
        <f t="shared" si="62"/>
        <v>0</v>
      </c>
      <c r="E993" s="10">
        <f t="shared" si="63"/>
        <v>0</v>
      </c>
      <c r="W993" t="str">
        <f>IFERROR(MID(Проливка[[#This Row],[Штрихкод ]],1,FIND("-",Проливка[[#This Row],[Штрихкод ]],1)-1)," ")</f>
        <v xml:space="preserve"> </v>
      </c>
      <c r="X993" t="str">
        <f>IFERROR(RIGHT(Проливка[[#This Row],[Штрихкод ]],LEN(Проливка[[#This Row],[Штрихкод ]])-SEARCH("-",Проливка[[#This Row],[Штрихкод ]],1))," ")</f>
        <v xml:space="preserve"> </v>
      </c>
      <c r="Y993">
        <f>IFERROR(VLOOKUP(Проливка[[#This Row],[ID]]*1,'Срок хранения'!A993:B1091,2,0),0)</f>
        <v>0</v>
      </c>
      <c r="Z993">
        <f>IFERROR(VLOOKUP(Проливка[[#This Row],[ID]]*1,'Срок хранения'!A993:C1091,3,0),0)</f>
        <v>0</v>
      </c>
    </row>
    <row r="994" spans="1:26" x14ac:dyDescent="0.25">
      <c r="A994" s="9"/>
      <c r="B994" s="12" t="str">
        <f t="shared" si="61"/>
        <v xml:space="preserve"> </v>
      </c>
      <c r="C994" s="10" t="str">
        <f t="shared" si="60"/>
        <v xml:space="preserve"> </v>
      </c>
      <c r="D994" s="10">
        <f t="shared" si="62"/>
        <v>0</v>
      </c>
      <c r="E994" s="10">
        <f t="shared" si="63"/>
        <v>0</v>
      </c>
      <c r="W994" t="str">
        <f>IFERROR(MID(Проливка[[#This Row],[Штрихкод ]],1,FIND("-",Проливка[[#This Row],[Штрихкод ]],1)-1)," ")</f>
        <v xml:space="preserve"> </v>
      </c>
      <c r="X994" t="str">
        <f>IFERROR(RIGHT(Проливка[[#This Row],[Штрихкод ]],LEN(Проливка[[#This Row],[Штрихкод ]])-SEARCH("-",Проливка[[#This Row],[Штрихкод ]],1))," ")</f>
        <v xml:space="preserve"> </v>
      </c>
      <c r="Y994">
        <f>IFERROR(VLOOKUP(Проливка[[#This Row],[ID]]*1,'Срок хранения'!A994:B1092,2,0),0)</f>
        <v>0</v>
      </c>
      <c r="Z994">
        <f>IFERROR(VLOOKUP(Проливка[[#This Row],[ID]]*1,'Срок хранения'!A994:C1092,3,0),0)</f>
        <v>0</v>
      </c>
    </row>
    <row r="995" spans="1:26" x14ac:dyDescent="0.25">
      <c r="A995" s="9"/>
      <c r="B995" s="12" t="str">
        <f t="shared" si="61"/>
        <v xml:space="preserve"> </v>
      </c>
      <c r="C995" s="10" t="str">
        <f t="shared" si="60"/>
        <v xml:space="preserve"> </v>
      </c>
      <c r="D995" s="10">
        <f t="shared" si="62"/>
        <v>0</v>
      </c>
      <c r="E995" s="10">
        <f t="shared" si="63"/>
        <v>0</v>
      </c>
      <c r="W995" t="str">
        <f>IFERROR(MID(Проливка[[#This Row],[Штрихкод ]],1,FIND("-",Проливка[[#This Row],[Штрихкод ]],1)-1)," ")</f>
        <v xml:space="preserve"> </v>
      </c>
      <c r="X995" t="str">
        <f>IFERROR(RIGHT(Проливка[[#This Row],[Штрихкод ]],LEN(Проливка[[#This Row],[Штрихкод ]])-SEARCH("-",Проливка[[#This Row],[Штрихкод ]],1))," ")</f>
        <v xml:space="preserve"> </v>
      </c>
      <c r="Y995">
        <f>IFERROR(VLOOKUP(Проливка[[#This Row],[ID]]*1,'Срок хранения'!A995:B1093,2,0),0)</f>
        <v>0</v>
      </c>
      <c r="Z995">
        <f>IFERROR(VLOOKUP(Проливка[[#This Row],[ID]]*1,'Срок хранения'!A995:C1093,3,0),0)</f>
        <v>0</v>
      </c>
    </row>
    <row r="996" spans="1:26" x14ac:dyDescent="0.25">
      <c r="A996" s="9"/>
      <c r="B996" s="12" t="str">
        <f t="shared" si="61"/>
        <v xml:space="preserve"> </v>
      </c>
      <c r="C996" s="10" t="str">
        <f t="shared" si="60"/>
        <v xml:space="preserve"> </v>
      </c>
      <c r="D996" s="10">
        <f t="shared" si="62"/>
        <v>0</v>
      </c>
      <c r="E996" s="10">
        <f t="shared" si="63"/>
        <v>0</v>
      </c>
      <c r="W996" t="str">
        <f>IFERROR(MID(Проливка[[#This Row],[Штрихкод ]],1,FIND("-",Проливка[[#This Row],[Штрихкод ]],1)-1)," ")</f>
        <v xml:space="preserve"> </v>
      </c>
      <c r="X996" t="str">
        <f>IFERROR(RIGHT(Проливка[[#This Row],[Штрихкод ]],LEN(Проливка[[#This Row],[Штрихкод ]])-SEARCH("-",Проливка[[#This Row],[Штрихкод ]],1))," ")</f>
        <v xml:space="preserve"> </v>
      </c>
      <c r="Y996">
        <f>IFERROR(VLOOKUP(Проливка[[#This Row],[ID]]*1,'Срок хранения'!A996:B1094,2,0),0)</f>
        <v>0</v>
      </c>
      <c r="Z996">
        <f>IFERROR(VLOOKUP(Проливка[[#This Row],[ID]]*1,'Срок хранения'!A996:C1094,3,0),0)</f>
        <v>0</v>
      </c>
    </row>
    <row r="997" spans="1:26" x14ac:dyDescent="0.25">
      <c r="A997" s="9"/>
      <c r="B997" s="12" t="str">
        <f t="shared" si="61"/>
        <v xml:space="preserve"> </v>
      </c>
      <c r="C997" s="10" t="str">
        <f t="shared" si="60"/>
        <v xml:space="preserve"> </v>
      </c>
      <c r="D997" s="10">
        <f t="shared" si="62"/>
        <v>0</v>
      </c>
      <c r="E997" s="10">
        <f t="shared" si="63"/>
        <v>0</v>
      </c>
      <c r="W997" t="str">
        <f>IFERROR(MID(Проливка[[#This Row],[Штрихкод ]],1,FIND("-",Проливка[[#This Row],[Штрихкод ]],1)-1)," ")</f>
        <v xml:space="preserve"> </v>
      </c>
      <c r="X997" t="str">
        <f>IFERROR(RIGHT(Проливка[[#This Row],[Штрихкод ]],LEN(Проливка[[#This Row],[Штрихкод ]])-SEARCH("-",Проливка[[#This Row],[Штрихкод ]],1))," ")</f>
        <v xml:space="preserve"> </v>
      </c>
      <c r="Y997">
        <f>IFERROR(VLOOKUP(Проливка[[#This Row],[ID]]*1,'Срок хранения'!A997:B1095,2,0),0)</f>
        <v>0</v>
      </c>
      <c r="Z997">
        <f>IFERROR(VLOOKUP(Проливка[[#This Row],[ID]]*1,'Срок хранения'!A997:C1095,3,0),0)</f>
        <v>0</v>
      </c>
    </row>
    <row r="998" spans="1:26" x14ac:dyDescent="0.25">
      <c r="A998" s="9"/>
      <c r="B998" s="12" t="str">
        <f t="shared" si="61"/>
        <v xml:space="preserve"> </v>
      </c>
      <c r="C998" s="10" t="str">
        <f t="shared" si="60"/>
        <v xml:space="preserve"> </v>
      </c>
      <c r="D998" s="10">
        <f t="shared" si="62"/>
        <v>0</v>
      </c>
      <c r="E998" s="10">
        <f t="shared" si="63"/>
        <v>0</v>
      </c>
      <c r="W998" t="str">
        <f>IFERROR(MID(Проливка[[#This Row],[Штрихкод ]],1,FIND("-",Проливка[[#This Row],[Штрихкод ]],1)-1)," ")</f>
        <v xml:space="preserve"> </v>
      </c>
      <c r="X998" t="str">
        <f>IFERROR(RIGHT(Проливка[[#This Row],[Штрихкод ]],LEN(Проливка[[#This Row],[Штрихкод ]])-SEARCH("-",Проливка[[#This Row],[Штрихкод ]],1))," ")</f>
        <v xml:space="preserve"> </v>
      </c>
      <c r="Y998">
        <f>IFERROR(VLOOKUP(Проливка[[#This Row],[ID]]*1,'Срок хранения'!A998:B1096,2,0),0)</f>
        <v>0</v>
      </c>
      <c r="Z998">
        <f>IFERROR(VLOOKUP(Проливка[[#This Row],[ID]]*1,'Срок хранения'!A998:C1096,3,0),0)</f>
        <v>0</v>
      </c>
    </row>
    <row r="999" spans="1:26" x14ac:dyDescent="0.25">
      <c r="A999" s="9"/>
      <c r="B999" s="12" t="str">
        <f t="shared" si="61"/>
        <v xml:space="preserve"> </v>
      </c>
      <c r="C999" s="10" t="str">
        <f t="shared" si="60"/>
        <v xml:space="preserve"> </v>
      </c>
      <c r="D999" s="10">
        <f t="shared" si="62"/>
        <v>0</v>
      </c>
      <c r="E999" s="10">
        <f t="shared" si="63"/>
        <v>0</v>
      </c>
      <c r="W999" t="str">
        <f>IFERROR(MID(Проливка[[#This Row],[Штрихкод ]],1,FIND("-",Проливка[[#This Row],[Штрихкод ]],1)-1)," ")</f>
        <v xml:space="preserve"> </v>
      </c>
      <c r="X999" t="str">
        <f>IFERROR(RIGHT(Проливка[[#This Row],[Штрихкод ]],LEN(Проливка[[#This Row],[Штрихкод ]])-SEARCH("-",Проливка[[#This Row],[Штрихкод ]],1))," ")</f>
        <v xml:space="preserve"> </v>
      </c>
      <c r="Y999">
        <f>IFERROR(VLOOKUP(Проливка[[#This Row],[ID]]*1,'Срок хранения'!A999:B1097,2,0),0)</f>
        <v>0</v>
      </c>
      <c r="Z999">
        <f>IFERROR(VLOOKUP(Проливка[[#This Row],[ID]]*1,'Срок хранения'!A999:C1097,3,0),0)</f>
        <v>0</v>
      </c>
    </row>
    <row r="1000" spans="1:26" s="5" customFormat="1" x14ac:dyDescent="0.25">
      <c r="A1000" s="14" t="s">
        <v>109</v>
      </c>
      <c r="B1000" s="15"/>
      <c r="C1000" s="16" t="s">
        <v>109</v>
      </c>
      <c r="D1000" s="14" t="s">
        <v>109</v>
      </c>
      <c r="E1000" s="17"/>
      <c r="F1000" s="14" t="s">
        <v>109</v>
      </c>
    </row>
  </sheetData>
  <sheetProtection selectLockedCells="1" selectUnlockedCells="1"/>
  <dataConsolidate>
    <dataRefs count="2">
      <dataRef ref="B1:B1048576" sheet="Проливка"/>
      <dataRef ref="A1:C1048576" sheet="Срок хранения"/>
    </dataRefs>
  </dataConsolidate>
  <phoneticPr fontId="2" type="noConversion"/>
  <conditionalFormatting sqref="D2:D999">
    <cfRule type="cellIs" dxfId="11" priority="2" operator="equal">
      <formula>0</formula>
    </cfRule>
  </conditionalFormatting>
  <conditionalFormatting sqref="E2:E999">
    <cfRule type="cellIs" dxfId="10" priority="1" operator="equal">
      <formula>0</formula>
    </cfRule>
  </conditionalFormatting>
  <hyperlinks>
    <hyperlink ref="F1000" r:id="rId1" xr:uid="{AC7E0D8D-F818-4AF0-B79B-1D4EE5077235}"/>
    <hyperlink ref="A1000" r:id="rId2" xr:uid="{8BCC3544-00F3-48A3-BE60-389CC30AD48C}"/>
    <hyperlink ref="C1000" r:id="rId3" xr:uid="{FE8D9F48-C899-4B18-9700-2B4571CCF248}"/>
    <hyperlink ref="D1000" r:id="rId4" xr:uid="{58FEEB9F-48AC-4680-A74C-35FD7C756D7A}"/>
  </hyperlinks>
  <pageMargins left="0.7" right="0.7" top="0.75" bottom="0.75" header="0.3" footer="0.3"/>
  <pageSetup paperSize="9" orientation="portrait" r:id="rId5"/>
  <ignoredErrors>
    <ignoredError sqref="D2:D999" calculatedColumn="1"/>
  </ignoredError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0783-DCD9-47B2-8383-D896A81A0D3D}">
  <sheetPr codeName="Лист2"/>
  <dimension ref="A1:C100"/>
  <sheetViews>
    <sheetView workbookViewId="0">
      <pane ySplit="1" topLeftCell="A2" activePane="bottomLeft" state="frozen"/>
      <selection pane="bottomLeft" activeCell="B103" sqref="B103"/>
    </sheetView>
  </sheetViews>
  <sheetFormatPr defaultRowHeight="15" x14ac:dyDescent="0.25"/>
  <cols>
    <col min="1" max="1" width="3.5703125" bestFit="1" customWidth="1"/>
    <col min="2" max="2" width="45" style="4" customWidth="1"/>
    <col min="3" max="3" width="17.28515625" bestFit="1" customWidth="1"/>
  </cols>
  <sheetData>
    <row r="1" spans="1:3" s="1" customFormat="1" ht="15.75" x14ac:dyDescent="0.25">
      <c r="A1" s="1" t="s">
        <v>0</v>
      </c>
      <c r="B1" s="1" t="s">
        <v>3</v>
      </c>
      <c r="C1" s="1" t="s">
        <v>4</v>
      </c>
    </row>
    <row r="2" spans="1:3" ht="17.25" x14ac:dyDescent="0.25">
      <c r="A2">
        <v>1</v>
      </c>
      <c r="B2" s="3" t="s">
        <v>10</v>
      </c>
      <c r="C2" t="s">
        <v>7</v>
      </c>
    </row>
    <row r="3" spans="1:3" ht="17.25" x14ac:dyDescent="0.25">
      <c r="A3">
        <v>2</v>
      </c>
      <c r="B3" s="3" t="s">
        <v>11</v>
      </c>
      <c r="C3" t="s">
        <v>7</v>
      </c>
    </row>
    <row r="4" spans="1:3" ht="17.25" x14ac:dyDescent="0.25">
      <c r="A4">
        <v>3</v>
      </c>
      <c r="B4" s="3" t="s">
        <v>12</v>
      </c>
      <c r="C4" t="s">
        <v>7</v>
      </c>
    </row>
    <row r="5" spans="1:3" ht="17.25" x14ac:dyDescent="0.25">
      <c r="A5">
        <v>4</v>
      </c>
      <c r="B5" s="3" t="s">
        <v>13</v>
      </c>
      <c r="C5" t="s">
        <v>7</v>
      </c>
    </row>
    <row r="6" spans="1:3" ht="17.25" x14ac:dyDescent="0.25">
      <c r="A6">
        <v>5</v>
      </c>
      <c r="B6" s="3" t="s">
        <v>14</v>
      </c>
      <c r="C6" t="s">
        <v>7</v>
      </c>
    </row>
    <row r="7" spans="1:3" ht="17.25" x14ac:dyDescent="0.25">
      <c r="A7">
        <v>6</v>
      </c>
      <c r="B7" s="3" t="s">
        <v>15</v>
      </c>
      <c r="C7" t="s">
        <v>7</v>
      </c>
    </row>
    <row r="8" spans="1:3" ht="17.25" x14ac:dyDescent="0.25">
      <c r="A8">
        <v>7</v>
      </c>
      <c r="B8" s="3" t="s">
        <v>16</v>
      </c>
      <c r="C8" t="s">
        <v>7</v>
      </c>
    </row>
    <row r="9" spans="1:3" ht="17.25" x14ac:dyDescent="0.25">
      <c r="A9">
        <v>8</v>
      </c>
      <c r="B9" s="3" t="s">
        <v>17</v>
      </c>
      <c r="C9" t="s">
        <v>7</v>
      </c>
    </row>
    <row r="10" spans="1:3" ht="17.25" x14ac:dyDescent="0.25">
      <c r="A10">
        <v>9</v>
      </c>
      <c r="B10" s="3" t="s">
        <v>18</v>
      </c>
      <c r="C10" t="s">
        <v>7</v>
      </c>
    </row>
    <row r="11" spans="1:3" ht="17.25" x14ac:dyDescent="0.25">
      <c r="A11">
        <v>10</v>
      </c>
      <c r="B11" s="3" t="s">
        <v>19</v>
      </c>
      <c r="C11" t="s">
        <v>7</v>
      </c>
    </row>
    <row r="12" spans="1:3" ht="17.25" x14ac:dyDescent="0.25">
      <c r="A12">
        <v>11</v>
      </c>
      <c r="B12" s="3" t="s">
        <v>20</v>
      </c>
      <c r="C12" t="s">
        <v>7</v>
      </c>
    </row>
    <row r="13" spans="1:3" ht="17.25" x14ac:dyDescent="0.25">
      <c r="A13">
        <v>12</v>
      </c>
      <c r="B13" s="3" t="s">
        <v>21</v>
      </c>
      <c r="C13" t="s">
        <v>7</v>
      </c>
    </row>
    <row r="14" spans="1:3" ht="17.25" x14ac:dyDescent="0.25">
      <c r="A14">
        <v>13</v>
      </c>
      <c r="B14" s="3" t="s">
        <v>22</v>
      </c>
      <c r="C14" t="s">
        <v>7</v>
      </c>
    </row>
    <row r="15" spans="1:3" ht="18" customHeight="1" x14ac:dyDescent="0.25">
      <c r="A15">
        <v>14</v>
      </c>
      <c r="B15" s="3" t="s">
        <v>23</v>
      </c>
      <c r="C15" t="s">
        <v>7</v>
      </c>
    </row>
    <row r="16" spans="1:3" ht="17.25" x14ac:dyDescent="0.25">
      <c r="A16">
        <v>15</v>
      </c>
      <c r="B16" s="3" t="s">
        <v>24</v>
      </c>
      <c r="C16" t="s">
        <v>7</v>
      </c>
    </row>
    <row r="17" spans="1:3" ht="17.25" x14ac:dyDescent="0.25">
      <c r="A17">
        <v>16</v>
      </c>
      <c r="B17" s="3" t="s">
        <v>25</v>
      </c>
      <c r="C17" t="s">
        <v>7</v>
      </c>
    </row>
    <row r="18" spans="1:3" ht="17.25" x14ac:dyDescent="0.25">
      <c r="A18">
        <v>17</v>
      </c>
      <c r="B18" s="3" t="s">
        <v>26</v>
      </c>
      <c r="C18" t="s">
        <v>7</v>
      </c>
    </row>
    <row r="19" spans="1:3" ht="17.25" x14ac:dyDescent="0.25">
      <c r="A19">
        <v>18</v>
      </c>
      <c r="B19" s="3" t="s">
        <v>27</v>
      </c>
      <c r="C19" t="s">
        <v>7</v>
      </c>
    </row>
    <row r="20" spans="1:3" ht="17.25" x14ac:dyDescent="0.25">
      <c r="A20">
        <v>19</v>
      </c>
      <c r="B20" s="3" t="s">
        <v>28</v>
      </c>
      <c r="C20" t="s">
        <v>7</v>
      </c>
    </row>
    <row r="21" spans="1:3" ht="17.25" x14ac:dyDescent="0.25">
      <c r="A21">
        <v>20</v>
      </c>
      <c r="B21" s="3" t="s">
        <v>29</v>
      </c>
      <c r="C21" t="s">
        <v>7</v>
      </c>
    </row>
    <row r="22" spans="1:3" ht="17.25" x14ac:dyDescent="0.25">
      <c r="A22">
        <v>21</v>
      </c>
      <c r="B22" s="3" t="s">
        <v>30</v>
      </c>
      <c r="C22" t="s">
        <v>7</v>
      </c>
    </row>
    <row r="23" spans="1:3" ht="17.25" x14ac:dyDescent="0.25">
      <c r="A23">
        <v>22</v>
      </c>
      <c r="B23" s="3" t="s">
        <v>31</v>
      </c>
      <c r="C23" t="s">
        <v>7</v>
      </c>
    </row>
    <row r="24" spans="1:3" ht="17.25" x14ac:dyDescent="0.25">
      <c r="A24">
        <v>23</v>
      </c>
      <c r="B24" s="3" t="s">
        <v>32</v>
      </c>
      <c r="C24" t="s">
        <v>7</v>
      </c>
    </row>
    <row r="25" spans="1:3" ht="17.25" x14ac:dyDescent="0.25">
      <c r="A25">
        <v>24</v>
      </c>
      <c r="B25" s="3" t="s">
        <v>33</v>
      </c>
      <c r="C25" t="s">
        <v>7</v>
      </c>
    </row>
    <row r="26" spans="1:3" ht="17.25" x14ac:dyDescent="0.25">
      <c r="A26">
        <v>25</v>
      </c>
      <c r="B26" s="3" t="s">
        <v>34</v>
      </c>
      <c r="C26" t="s">
        <v>7</v>
      </c>
    </row>
    <row r="27" spans="1:3" ht="17.25" x14ac:dyDescent="0.25">
      <c r="A27">
        <v>26</v>
      </c>
      <c r="B27" s="3" t="s">
        <v>35</v>
      </c>
      <c r="C27" t="s">
        <v>7</v>
      </c>
    </row>
    <row r="28" spans="1:3" ht="17.25" x14ac:dyDescent="0.25">
      <c r="A28">
        <v>27</v>
      </c>
      <c r="B28" s="3" t="s">
        <v>36</v>
      </c>
      <c r="C28" t="s">
        <v>7</v>
      </c>
    </row>
    <row r="29" spans="1:3" ht="17.25" x14ac:dyDescent="0.25">
      <c r="A29">
        <v>28</v>
      </c>
      <c r="B29" s="3" t="s">
        <v>37</v>
      </c>
      <c r="C29" t="s">
        <v>7</v>
      </c>
    </row>
    <row r="30" spans="1:3" ht="17.25" x14ac:dyDescent="0.25">
      <c r="A30">
        <v>29</v>
      </c>
      <c r="B30" s="3" t="s">
        <v>38</v>
      </c>
      <c r="C30" t="s">
        <v>7</v>
      </c>
    </row>
    <row r="31" spans="1:3" ht="17.25" x14ac:dyDescent="0.25">
      <c r="A31">
        <v>30</v>
      </c>
      <c r="B31" s="3" t="s">
        <v>39</v>
      </c>
      <c r="C31" t="s">
        <v>7</v>
      </c>
    </row>
    <row r="32" spans="1:3" ht="17.25" x14ac:dyDescent="0.25">
      <c r="A32">
        <v>31</v>
      </c>
      <c r="B32" s="3" t="s">
        <v>40</v>
      </c>
      <c r="C32" t="s">
        <v>7</v>
      </c>
    </row>
    <row r="33" spans="1:3" ht="17.25" x14ac:dyDescent="0.25">
      <c r="A33">
        <v>32</v>
      </c>
      <c r="B33" s="3" t="s">
        <v>41</v>
      </c>
      <c r="C33" t="s">
        <v>7</v>
      </c>
    </row>
    <row r="34" spans="1:3" ht="17.25" x14ac:dyDescent="0.25">
      <c r="A34">
        <v>33</v>
      </c>
      <c r="B34" s="3" t="s">
        <v>42</v>
      </c>
      <c r="C34" t="s">
        <v>7</v>
      </c>
    </row>
    <row r="35" spans="1:3" ht="17.25" x14ac:dyDescent="0.25">
      <c r="A35">
        <v>34</v>
      </c>
      <c r="B35" s="3" t="s">
        <v>43</v>
      </c>
      <c r="C35" t="s">
        <v>7</v>
      </c>
    </row>
    <row r="36" spans="1:3" ht="17.25" x14ac:dyDescent="0.25">
      <c r="A36">
        <v>35</v>
      </c>
      <c r="B36" s="3" t="s">
        <v>44</v>
      </c>
      <c r="C36" t="s">
        <v>7</v>
      </c>
    </row>
    <row r="37" spans="1:3" ht="17.25" x14ac:dyDescent="0.25">
      <c r="A37">
        <v>36</v>
      </c>
      <c r="B37" s="3" t="s">
        <v>45</v>
      </c>
      <c r="C37" t="s">
        <v>7</v>
      </c>
    </row>
    <row r="38" spans="1:3" ht="17.25" x14ac:dyDescent="0.25">
      <c r="A38">
        <v>37</v>
      </c>
      <c r="B38" s="3" t="s">
        <v>46</v>
      </c>
      <c r="C38" t="s">
        <v>7</v>
      </c>
    </row>
    <row r="39" spans="1:3" ht="17.25" x14ac:dyDescent="0.25">
      <c r="A39">
        <v>38</v>
      </c>
      <c r="B39" s="3" t="s">
        <v>47</v>
      </c>
      <c r="C39" t="s">
        <v>7</v>
      </c>
    </row>
    <row r="40" spans="1:3" ht="17.25" x14ac:dyDescent="0.25">
      <c r="A40">
        <v>39</v>
      </c>
      <c r="B40" s="3" t="s">
        <v>48</v>
      </c>
      <c r="C40" t="s">
        <v>7</v>
      </c>
    </row>
    <row r="41" spans="1:3" ht="17.25" x14ac:dyDescent="0.25">
      <c r="A41">
        <v>40</v>
      </c>
      <c r="B41" s="3" t="s">
        <v>49</v>
      </c>
      <c r="C41" t="s">
        <v>7</v>
      </c>
    </row>
    <row r="42" spans="1:3" ht="17.25" x14ac:dyDescent="0.25">
      <c r="A42">
        <v>41</v>
      </c>
      <c r="B42" s="3" t="s">
        <v>50</v>
      </c>
      <c r="C42" t="s">
        <v>7</v>
      </c>
    </row>
    <row r="43" spans="1:3" ht="17.25" x14ac:dyDescent="0.25">
      <c r="A43">
        <v>42</v>
      </c>
      <c r="B43" s="3" t="s">
        <v>51</v>
      </c>
      <c r="C43" t="s">
        <v>7</v>
      </c>
    </row>
    <row r="44" spans="1:3" ht="17.25" x14ac:dyDescent="0.25">
      <c r="A44">
        <v>43</v>
      </c>
      <c r="B44" s="3" t="s">
        <v>52</v>
      </c>
      <c r="C44" t="s">
        <v>7</v>
      </c>
    </row>
    <row r="45" spans="1:3" ht="17.25" x14ac:dyDescent="0.25">
      <c r="A45">
        <v>44</v>
      </c>
      <c r="B45" s="3" t="s">
        <v>53</v>
      </c>
      <c r="C45" t="s">
        <v>7</v>
      </c>
    </row>
    <row r="46" spans="1:3" ht="17.25" x14ac:dyDescent="0.25">
      <c r="A46">
        <v>45</v>
      </c>
      <c r="B46" s="3" t="s">
        <v>54</v>
      </c>
      <c r="C46" t="s">
        <v>7</v>
      </c>
    </row>
    <row r="47" spans="1:3" ht="17.25" x14ac:dyDescent="0.25">
      <c r="A47">
        <v>46</v>
      </c>
      <c r="B47" s="3" t="s">
        <v>55</v>
      </c>
      <c r="C47" t="s">
        <v>7</v>
      </c>
    </row>
    <row r="48" spans="1:3" ht="17.25" x14ac:dyDescent="0.25">
      <c r="A48">
        <v>47</v>
      </c>
      <c r="B48" s="3" t="s">
        <v>56</v>
      </c>
      <c r="C48" t="s">
        <v>7</v>
      </c>
    </row>
    <row r="49" spans="1:3" ht="17.25" x14ac:dyDescent="0.25">
      <c r="A49">
        <v>48</v>
      </c>
      <c r="B49" s="3" t="s">
        <v>57</v>
      </c>
      <c r="C49" t="s">
        <v>7</v>
      </c>
    </row>
    <row r="50" spans="1:3" ht="17.25" x14ac:dyDescent="0.25">
      <c r="A50">
        <v>49</v>
      </c>
      <c r="B50" s="3" t="s">
        <v>58</v>
      </c>
      <c r="C50" t="s">
        <v>7</v>
      </c>
    </row>
    <row r="51" spans="1:3" ht="17.25" x14ac:dyDescent="0.25">
      <c r="A51">
        <v>50</v>
      </c>
      <c r="B51" s="3" t="s">
        <v>59</v>
      </c>
      <c r="C51" t="s">
        <v>7</v>
      </c>
    </row>
    <row r="52" spans="1:3" ht="17.25" x14ac:dyDescent="0.25">
      <c r="A52">
        <v>51</v>
      </c>
      <c r="B52" s="3" t="s">
        <v>60</v>
      </c>
      <c r="C52" t="s">
        <v>7</v>
      </c>
    </row>
    <row r="53" spans="1:3" ht="17.25" x14ac:dyDescent="0.25">
      <c r="A53">
        <v>52</v>
      </c>
      <c r="B53" s="3" t="s">
        <v>61</v>
      </c>
      <c r="C53" t="s">
        <v>7</v>
      </c>
    </row>
    <row r="54" spans="1:3" ht="17.25" x14ac:dyDescent="0.25">
      <c r="A54">
        <v>53</v>
      </c>
      <c r="B54" s="3" t="s">
        <v>62</v>
      </c>
      <c r="C54" t="s">
        <v>8</v>
      </c>
    </row>
    <row r="55" spans="1:3" ht="17.25" x14ac:dyDescent="0.25">
      <c r="A55">
        <v>54</v>
      </c>
      <c r="B55" s="3" t="s">
        <v>63</v>
      </c>
      <c r="C55" t="s">
        <v>8</v>
      </c>
    </row>
    <row r="56" spans="1:3" ht="17.25" x14ac:dyDescent="0.25">
      <c r="A56">
        <v>55</v>
      </c>
      <c r="B56" s="3" t="s">
        <v>64</v>
      </c>
      <c r="C56" t="s">
        <v>8</v>
      </c>
    </row>
    <row r="57" spans="1:3" ht="17.25" x14ac:dyDescent="0.25">
      <c r="A57">
        <v>56</v>
      </c>
      <c r="B57" s="3" t="s">
        <v>65</v>
      </c>
      <c r="C57" t="s">
        <v>8</v>
      </c>
    </row>
    <row r="58" spans="1:3" ht="17.25" x14ac:dyDescent="0.25">
      <c r="A58">
        <v>57</v>
      </c>
      <c r="B58" s="3" t="s">
        <v>66</v>
      </c>
      <c r="C58" t="s">
        <v>8</v>
      </c>
    </row>
    <row r="59" spans="1:3" ht="17.25" x14ac:dyDescent="0.25">
      <c r="A59">
        <v>58</v>
      </c>
      <c r="B59" s="3" t="s">
        <v>67</v>
      </c>
      <c r="C59" t="s">
        <v>8</v>
      </c>
    </row>
    <row r="60" spans="1:3" ht="17.25" x14ac:dyDescent="0.25">
      <c r="A60">
        <v>59</v>
      </c>
      <c r="B60" s="3" t="s">
        <v>68</v>
      </c>
      <c r="C60" t="s">
        <v>8</v>
      </c>
    </row>
    <row r="61" spans="1:3" ht="17.25" x14ac:dyDescent="0.25">
      <c r="A61">
        <v>60</v>
      </c>
      <c r="B61" s="3" t="s">
        <v>69</v>
      </c>
      <c r="C61" t="s">
        <v>8</v>
      </c>
    </row>
    <row r="62" spans="1:3" ht="17.25" x14ac:dyDescent="0.25">
      <c r="A62">
        <v>61</v>
      </c>
      <c r="B62" s="3" t="s">
        <v>70</v>
      </c>
      <c r="C62" t="s">
        <v>8</v>
      </c>
    </row>
    <row r="63" spans="1:3" ht="17.25" x14ac:dyDescent="0.25">
      <c r="A63">
        <v>62</v>
      </c>
      <c r="B63" s="3" t="s">
        <v>71</v>
      </c>
      <c r="C63" t="s">
        <v>8</v>
      </c>
    </row>
    <row r="64" spans="1:3" ht="17.25" x14ac:dyDescent="0.25">
      <c r="A64">
        <v>63</v>
      </c>
      <c r="B64" s="3" t="s">
        <v>72</v>
      </c>
      <c r="C64" t="s">
        <v>8</v>
      </c>
    </row>
    <row r="65" spans="1:3" ht="17.25" x14ac:dyDescent="0.25">
      <c r="A65">
        <v>64</v>
      </c>
      <c r="B65" s="3" t="s">
        <v>73</v>
      </c>
      <c r="C65" t="s">
        <v>8</v>
      </c>
    </row>
    <row r="66" spans="1:3" ht="17.25" x14ac:dyDescent="0.25">
      <c r="A66">
        <v>65</v>
      </c>
      <c r="B66" s="3" t="s">
        <v>74</v>
      </c>
      <c r="C66" t="s">
        <v>8</v>
      </c>
    </row>
    <row r="67" spans="1:3" ht="17.25" x14ac:dyDescent="0.25">
      <c r="A67">
        <v>66</v>
      </c>
      <c r="B67" s="3" t="s">
        <v>75</v>
      </c>
      <c r="C67" t="s">
        <v>8</v>
      </c>
    </row>
    <row r="68" spans="1:3" ht="17.25" x14ac:dyDescent="0.25">
      <c r="A68">
        <v>67</v>
      </c>
      <c r="B68" s="3" t="s">
        <v>76</v>
      </c>
      <c r="C68" t="s">
        <v>8</v>
      </c>
    </row>
    <row r="69" spans="1:3" ht="17.25" x14ac:dyDescent="0.25">
      <c r="A69">
        <v>68</v>
      </c>
      <c r="B69" s="3" t="s">
        <v>77</v>
      </c>
      <c r="C69" t="s">
        <v>8</v>
      </c>
    </row>
    <row r="70" spans="1:3" ht="17.25" x14ac:dyDescent="0.25">
      <c r="A70">
        <v>69</v>
      </c>
      <c r="B70" s="3" t="s">
        <v>78</v>
      </c>
      <c r="C70" t="s">
        <v>8</v>
      </c>
    </row>
    <row r="71" spans="1:3" ht="17.25" x14ac:dyDescent="0.25">
      <c r="A71">
        <v>70</v>
      </c>
      <c r="B71" s="3" t="s">
        <v>79</v>
      </c>
      <c r="C71" t="s">
        <v>8</v>
      </c>
    </row>
    <row r="72" spans="1:3" ht="17.25" x14ac:dyDescent="0.25">
      <c r="A72">
        <v>71</v>
      </c>
      <c r="B72" s="3" t="s">
        <v>80</v>
      </c>
      <c r="C72" t="s">
        <v>8</v>
      </c>
    </row>
    <row r="73" spans="1:3" ht="17.25" x14ac:dyDescent="0.25">
      <c r="A73">
        <v>72</v>
      </c>
      <c r="B73" s="3" t="s">
        <v>81</v>
      </c>
      <c r="C73" t="s">
        <v>8</v>
      </c>
    </row>
    <row r="74" spans="1:3" ht="17.25" x14ac:dyDescent="0.25">
      <c r="A74">
        <v>73</v>
      </c>
      <c r="B74" s="3" t="s">
        <v>82</v>
      </c>
      <c r="C74" t="s">
        <v>8</v>
      </c>
    </row>
    <row r="75" spans="1:3" ht="17.25" x14ac:dyDescent="0.25">
      <c r="A75">
        <v>74</v>
      </c>
      <c r="B75" s="3" t="s">
        <v>83</v>
      </c>
      <c r="C75" t="s">
        <v>8</v>
      </c>
    </row>
    <row r="76" spans="1:3" ht="17.25" x14ac:dyDescent="0.25">
      <c r="A76">
        <v>75</v>
      </c>
      <c r="B76" s="3" t="s">
        <v>84</v>
      </c>
      <c r="C76" t="s">
        <v>8</v>
      </c>
    </row>
    <row r="77" spans="1:3" ht="17.25" x14ac:dyDescent="0.25">
      <c r="A77">
        <v>76</v>
      </c>
      <c r="B77" s="3" t="s">
        <v>85</v>
      </c>
      <c r="C77" t="s">
        <v>8</v>
      </c>
    </row>
    <row r="78" spans="1:3" ht="17.25" x14ac:dyDescent="0.25">
      <c r="A78">
        <v>77</v>
      </c>
      <c r="B78" s="3" t="s">
        <v>86</v>
      </c>
      <c r="C78" t="s">
        <v>9</v>
      </c>
    </row>
    <row r="79" spans="1:3" ht="17.25" x14ac:dyDescent="0.25">
      <c r="A79">
        <v>78</v>
      </c>
      <c r="B79" s="3" t="s">
        <v>87</v>
      </c>
      <c r="C79" t="s">
        <v>9</v>
      </c>
    </row>
    <row r="80" spans="1:3" ht="17.25" x14ac:dyDescent="0.25">
      <c r="A80">
        <v>79</v>
      </c>
      <c r="B80" s="3" t="s">
        <v>88</v>
      </c>
      <c r="C80" t="s">
        <v>9</v>
      </c>
    </row>
    <row r="81" spans="1:3" ht="17.25" x14ac:dyDescent="0.25">
      <c r="A81">
        <v>80</v>
      </c>
      <c r="B81" s="3" t="s">
        <v>89</v>
      </c>
      <c r="C81" t="s">
        <v>9</v>
      </c>
    </row>
    <row r="82" spans="1:3" ht="17.25" x14ac:dyDescent="0.25">
      <c r="A82">
        <v>81</v>
      </c>
      <c r="B82" s="3" t="s">
        <v>90</v>
      </c>
      <c r="C82" t="s">
        <v>9</v>
      </c>
    </row>
    <row r="83" spans="1:3" ht="17.25" x14ac:dyDescent="0.25">
      <c r="A83">
        <v>82</v>
      </c>
      <c r="B83" s="3" t="s">
        <v>91</v>
      </c>
      <c r="C83" t="s">
        <v>9</v>
      </c>
    </row>
    <row r="84" spans="1:3" ht="17.25" x14ac:dyDescent="0.25">
      <c r="A84">
        <v>83</v>
      </c>
      <c r="B84" s="3" t="s">
        <v>92</v>
      </c>
      <c r="C84" t="s">
        <v>9</v>
      </c>
    </row>
    <row r="85" spans="1:3" ht="17.25" x14ac:dyDescent="0.25">
      <c r="A85">
        <v>84</v>
      </c>
      <c r="B85" s="3" t="s">
        <v>93</v>
      </c>
      <c r="C85" t="s">
        <v>9</v>
      </c>
    </row>
    <row r="86" spans="1:3" ht="17.25" x14ac:dyDescent="0.25">
      <c r="A86">
        <v>85</v>
      </c>
      <c r="B86" s="3" t="s">
        <v>94</v>
      </c>
      <c r="C86" t="s">
        <v>9</v>
      </c>
    </row>
    <row r="87" spans="1:3" ht="17.25" x14ac:dyDescent="0.25">
      <c r="A87">
        <v>86</v>
      </c>
      <c r="B87" s="3" t="s">
        <v>95</v>
      </c>
      <c r="C87" t="s">
        <v>9</v>
      </c>
    </row>
    <row r="88" spans="1:3" ht="17.25" x14ac:dyDescent="0.25">
      <c r="A88">
        <v>87</v>
      </c>
      <c r="B88" s="3" t="s">
        <v>96</v>
      </c>
      <c r="C88" t="s">
        <v>9</v>
      </c>
    </row>
    <row r="89" spans="1:3" ht="17.25" x14ac:dyDescent="0.25">
      <c r="A89">
        <v>88</v>
      </c>
      <c r="B89" s="3" t="s">
        <v>97</v>
      </c>
      <c r="C89" t="s">
        <v>9</v>
      </c>
    </row>
    <row r="90" spans="1:3" ht="17.25" x14ac:dyDescent="0.25">
      <c r="A90">
        <v>89</v>
      </c>
      <c r="B90" s="3" t="s">
        <v>98</v>
      </c>
      <c r="C90" t="s">
        <v>9</v>
      </c>
    </row>
    <row r="91" spans="1:3" ht="17.25" x14ac:dyDescent="0.25">
      <c r="A91">
        <v>90</v>
      </c>
      <c r="B91" s="3" t="s">
        <v>99</v>
      </c>
      <c r="C91" t="s">
        <v>9</v>
      </c>
    </row>
    <row r="92" spans="1:3" ht="17.25" x14ac:dyDescent="0.25">
      <c r="A92">
        <v>91</v>
      </c>
      <c r="B92" s="3" t="s">
        <v>100</v>
      </c>
      <c r="C92" t="s">
        <v>9</v>
      </c>
    </row>
    <row r="93" spans="1:3" ht="17.25" x14ac:dyDescent="0.25">
      <c r="A93">
        <v>92</v>
      </c>
      <c r="B93" s="3" t="s">
        <v>101</v>
      </c>
      <c r="C93" t="s">
        <v>9</v>
      </c>
    </row>
    <row r="94" spans="1:3" ht="17.25" x14ac:dyDescent="0.25">
      <c r="A94">
        <v>93</v>
      </c>
      <c r="B94" s="3" t="s">
        <v>102</v>
      </c>
      <c r="C94" t="s">
        <v>9</v>
      </c>
    </row>
    <row r="95" spans="1:3" ht="17.25" x14ac:dyDescent="0.25">
      <c r="A95">
        <v>94</v>
      </c>
      <c r="B95" s="3" t="s">
        <v>103</v>
      </c>
      <c r="C95" t="s">
        <v>9</v>
      </c>
    </row>
    <row r="96" spans="1:3" ht="17.25" x14ac:dyDescent="0.25">
      <c r="A96">
        <v>95</v>
      </c>
      <c r="B96" s="3" t="s">
        <v>104</v>
      </c>
      <c r="C96" t="s">
        <v>9</v>
      </c>
    </row>
    <row r="97" spans="1:3" ht="17.25" x14ac:dyDescent="0.25">
      <c r="A97">
        <v>96</v>
      </c>
      <c r="B97" s="3" t="s">
        <v>105</v>
      </c>
      <c r="C97" t="s">
        <v>9</v>
      </c>
    </row>
    <row r="98" spans="1:3" ht="17.25" x14ac:dyDescent="0.25">
      <c r="A98">
        <v>97</v>
      </c>
      <c r="B98" s="3" t="s">
        <v>106</v>
      </c>
      <c r="C98" t="s">
        <v>9</v>
      </c>
    </row>
    <row r="99" spans="1:3" ht="17.25" x14ac:dyDescent="0.25">
      <c r="A99">
        <v>98</v>
      </c>
      <c r="B99" s="3" t="s">
        <v>107</v>
      </c>
      <c r="C99" t="s">
        <v>9</v>
      </c>
    </row>
    <row r="100" spans="1:3" ht="17.25" x14ac:dyDescent="0.25">
      <c r="A100">
        <v>99</v>
      </c>
      <c r="B100" s="3" t="s">
        <v>108</v>
      </c>
      <c r="C100" t="s">
        <v>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776EC-7C1A-427E-A038-6C647ABB3415}">
  <sheetPr codeName="Лист3"/>
  <dimension ref="A1:B1"/>
  <sheetViews>
    <sheetView workbookViewId="0">
      <selection activeCell="D13" sqref="D13"/>
    </sheetView>
  </sheetViews>
  <sheetFormatPr defaultRowHeight="15" x14ac:dyDescent="0.25"/>
  <cols>
    <col min="1" max="1" width="26.28515625" bestFit="1" customWidth="1"/>
    <col min="2" max="2" width="18" bestFit="1" customWidth="1"/>
  </cols>
  <sheetData>
    <row r="1" spans="1:2" x14ac:dyDescent="0.25">
      <c r="A1" s="18" t="s">
        <v>5</v>
      </c>
      <c r="B1" s="18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67C76-8C23-4D7C-B787-7C24C8F6F545}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5FC5E-E390-4946-9071-20A81D61D036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Проливка</vt:lpstr>
      <vt:lpstr>Срок хранения</vt:lpstr>
      <vt:lpstr>1 год</vt:lpstr>
      <vt:lpstr>3 года</vt:lpstr>
      <vt:lpstr>5 лет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ZaKotikov</dc:creator>
  <cp:lastModifiedBy>ZaKotikov</cp:lastModifiedBy>
  <dcterms:created xsi:type="dcterms:W3CDTF">2015-06-05T18:19:34Z</dcterms:created>
  <dcterms:modified xsi:type="dcterms:W3CDTF">2025-03-05T17:10:41Z</dcterms:modified>
</cp:coreProperties>
</file>